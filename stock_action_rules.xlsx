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ules" sheetId="1" state="visible" r:id="rId3"/>
    <sheet name="Parameters" sheetId="2" state="visible" r:id="rId4"/>
    <sheet name="Scored Data" sheetId="3" state="visible" r:id="rId5"/>
  </sheets>
  <definedNames>
    <definedName function="false" hidden="true" localSheetId="2" name="_xlnm._FilterDatabase" vbProcedure="false">'Scored Data'!$A$1:$CL$94</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BC1" authorId="0">
      <text>
        <r>
          <rPr>
            <sz val="10"/>
            <rFont val="Arial"/>
            <family val="2"/>
          </rPr>
          <t xml:space="preserve">Calendar days from Latest Data to Next Earnings. Negative = stale date, ignored.</t>
        </r>
      </text>
    </comment>
    <comment ref="BD1" authorId="0">
      <text>
        <r>
          <rPr>
            <sz val="10"/>
            <rFont val="Arial"/>
            <family val="2"/>
          </rPr>
          <t xml:space="preserve">1 if Portfolios contains "ETF" or the row has neither Quality nor Forward P/E (no fundamentals).</t>
        </r>
      </text>
    </comment>
    <comment ref="BE1" authorId="0">
      <text>
        <r>
          <rPr>
            <sz val="10"/>
            <rFont val="Arial"/>
            <family val="2"/>
          </rPr>
          <t xml:space="preserve">Establishment score 0-7: size, profitability, FCF, sane valuation, quality.</t>
        </r>
      </text>
    </comment>
    <comment ref="BF1" authorId="0">
      <text>
        <r>
          <rPr>
            <sz val="10"/>
            <rFont val="Arial"/>
            <family val="2"/>
          </rPr>
          <t xml:space="preserve">ETF / Established / Early</t>
        </r>
      </text>
    </comment>
    <comment ref="BO1" authorId="0">
      <text>
        <r>
          <rPr>
            <sz val="10"/>
            <rFont val="Arial"/>
            <family val="2"/>
          </rPr>
          <t xml:space="preserve">Sum of T1..T8, range -10..+10</t>
        </r>
      </text>
    </comment>
    <comment ref="CB1" authorId="0">
      <text>
        <r>
          <rPr>
            <sz val="10"/>
            <rFont val="Arial"/>
            <family val="2"/>
          </rPr>
          <t xml:space="preserve">Uses the Established or Early rule set depending on Company Type; 0 for ETFs</t>
        </r>
      </text>
    </comment>
    <comment ref="CD1" authorId="0">
      <text>
        <r>
          <rPr>
            <sz val="10"/>
            <rFont val="Arial"/>
            <family val="2"/>
          </rPr>
          <t xml:space="preserve">Tier rank before overrides: 1=Sell Immediately … 6=Strong Buy (see Parameters!E:F)</t>
        </r>
      </text>
    </comment>
    <comment ref="CJ1" authorId="0">
      <text>
        <r>
          <rPr>
            <sz val="10"/>
            <rFont val="Arial"/>
            <family val="2"/>
          </rPr>
          <t xml:space="preserve">Hard sell → 1; otherwise the base rank capped by each active override</t>
        </r>
      </text>
    </comment>
    <comment ref="CK1" authorId="0">
      <text>
        <r>
          <rPr>
            <sz val="10"/>
            <rFont val="Arial"/>
            <family val="2"/>
          </rPr>
          <t xml:space="preserve">FINAL OUTPUT</t>
        </r>
      </text>
    </comment>
  </commentList>
</comments>
</file>

<file path=xl/sharedStrings.xml><?xml version="1.0" encoding="utf-8"?>
<sst xmlns="http://schemas.openxmlformats.org/spreadsheetml/2006/main" count="934" uniqueCount="538">
  <si>
    <t xml:space="preserve">STOCK ACTION SPEC — two new columns: "Company Type" and "Action"</t>
  </si>
  <si>
    <t xml:space="preserve">Purpose: score each stock from one day's screener row. Everything below is implemented as live formulas on the "Scored Data" sheet, with every threshold on the "Parameters" sheet. Column header comments on Scored Data explain each helper column. Output values for Action: Sell Immediately | Avoid | Hold | Buy with Risk | Buy | Strong Buy. A "Flags" column explains any override that changed the result.</t>
  </si>
  <si>
    <t xml:space="preserve">STEP 1 — Company Type (ETF / Established / Early)</t>
  </si>
  <si>
    <t xml:space="preserve">1a ETF</t>
  </si>
  <si>
    <t xml:space="preserve">Portfolios contains "ETF", OR both Quality and Forward P/E are blank → "ETF". ETFs get technical scoring only.</t>
  </si>
  <si>
    <t xml:space="preserve">1b Establishment score (0–7)</t>
  </si>
  <si>
    <t xml:space="preserve">Market Cap ≥ mc_big → +2 (≥ mc_mid → +1). Net Income TTM &gt; 0 AND Profit Margin ≥ pm_est → +2 (Net Income &gt; 0 alone → +1). FCF TTM &gt; 0 AND FCF Margin ≥ fm_est → +1. 0 &lt; Forward P/E ≤ pe_max → +1. Quality ≥ q_est → +1.</t>
  </si>
  <si>
    <t xml:space="preserve">1c Classification</t>
  </si>
  <si>
    <t xml:space="preserve">Market Cap ≥ mc_override → "Established" (size override). Else score ≥ est_min → "Established", else "Early". Early = valued on future growth / not yet consistently profitable (SG, JOBY, CAVA, CRWV, SNOW, CRWD...). Established = large, profitable, sanely valued (AAPL, JPM, MU...).</t>
  </si>
  <si>
    <t xml:space="preserve">STEP 2 — Technical Score (all types, −10 … +10)</t>
  </si>
  <si>
    <t xml:space="preserve">T1 MA Cross</t>
  </si>
  <si>
    <t xml:space="preserve">Golden* → +2, Death* → −2, blank → 0 (LEFT() match, so "Golden (8d)" counts as Golden).</t>
  </si>
  <si>
    <t xml:space="preserve">T2 vs 200D MA %</t>
  </si>
  <si>
    <t xml:space="preserve">&gt; v200_hi → +2; &gt; 0 → +1; ≥ v200_lo → −1; &lt; v200_lo → −2.</t>
  </si>
  <si>
    <t xml:space="preserve">T3 vs 50D MA %</t>
  </si>
  <si>
    <t xml:space="preserve">v50_lo ≤ x ≤ v50_hi → +1 (pullback/base). x &gt; v50_ext (extended) or x &lt; v50_wk (weak) → −1.</t>
  </si>
  <si>
    <t xml:space="preserve">T4 RSI</t>
  </si>
  <si>
    <t xml:space="preserve">rsi_lo ≤ RSI ≤ rsi_hi → +1. RSI &gt; rsi_ob or RSI &lt; rsi_os → −1.</t>
  </si>
  <si>
    <t xml:space="preserve">T5 Momentum Delta (2w)</t>
  </si>
  <si>
    <t xml:space="preserve">&gt; md_up → +1; &lt; md_dn → −1.</t>
  </si>
  <si>
    <t xml:space="preserve">T6 Momentum score</t>
  </si>
  <si>
    <t xml:space="preserve">≥ mo_hi → +1; ≤ mo_lo → −1.</t>
  </si>
  <si>
    <t xml:space="preserve">T7 Volume confirmation</t>
  </si>
  <si>
    <t xml:space="preserve">Vol Trend % &gt; vt_hi: if 1M % &lt; 0 → −1 (distribution), if 1M % &gt; 0 → +1 (accumulation).</t>
  </si>
  <si>
    <t xml:space="preserve">T8 % from 52W High</t>
  </si>
  <si>
    <t xml:space="preserve">&gt; fh_near → +1; &lt; fh_deep → −1.</t>
  </si>
  <si>
    <t xml:space="preserve">STEP 3 — Fundamental Score (rule set depends on Company Type)</t>
  </si>
  <si>
    <t xml:space="preserve">Established (FE1–FE6)</t>
  </si>
  <si>
    <t xml:space="preserve">Quality ≥ q_hi → +2 / ≥ q_mid → +1 / ≤ q_low → −1. Earnings Growth &gt; eg_est → +1, &lt; 0 → −1. Revenue Growth &gt; rg_est → +1, &lt; 0 → −1. 0 &lt; PEG ≤ peg_ok → +1, PEG &gt; peg_bad → −1. FCF Margin &gt; fm_hi → +1, &lt; 0 → −1. Net Cash &gt; 0 → +1.</t>
  </si>
  <si>
    <t xml:space="preserve">Early (EA1–EA6)</t>
  </si>
  <si>
    <t xml:space="preserve">Revenue Growth &gt; rg_e2 → +2 / &gt; rg_e1 → +1 / &lt; rg_e_lo → −1 / &lt; 0 → −2. Gross Margin &gt; gm_hi → +1, &lt; gm_lo → −1. FCF TTM &gt; 0 → +1, else FCF Margin &lt; fm_neg → −1. Net Income TTM &gt; 0 → +1. Short % Float &gt; sf_vhi → −2, &gt; sf_hi → −1. Quality ≥ q_e_hi → +1, ≤ q_e_lo → −1. (Early companies are judged on growth, gross margin and cash burn — not on P/E, PEG or earnings growth, which are meaningless for them.)</t>
  </si>
  <si>
    <t xml:space="preserve">ETF</t>
  </si>
  <si>
    <t xml:space="preserve">Fund Score = 0.</t>
  </si>
  <si>
    <t xml:space="preserve">STEP 4 — Composite and base tier</t>
  </si>
  <si>
    <t xml:space="preserve">Composite</t>
  </si>
  <si>
    <t xml:space="preserve">Established: Tech + Fund. Early: Tech + early_fund_wt × Fund (technicals carry more weight because Early fundamentals are noisy). ETF: Tech.</t>
  </si>
  <si>
    <t xml:space="preserve">Established tiers</t>
  </si>
  <si>
    <t xml:space="preserve">≥ est_sb Strong Buy | ≥ est_b Buy | ≥ est_bwr Buy with Risk | ≥ est_h Hold | ≥ est_av Avoid | else Sell Immediately.</t>
  </si>
  <si>
    <t xml:space="preserve">Early tiers</t>
  </si>
  <si>
    <t xml:space="preserve">≥ early_b Buy | ≥ early_bwr Buy with Risk | ≥ early_h Hold | ≥ early_av Avoid | else Sell Immediately. Early can never be Strong Buy.</t>
  </si>
  <si>
    <t xml:space="preserve">ETF tiers</t>
  </si>
  <si>
    <t xml:space="preserve">≥ etf_sb Strong Buy | ≥ etf_b Buy | ≥ etf_bwr Buy with Risk | ≥ etf_h Hold | ≥ etf_av Avoid | else Sell Immediately.</t>
  </si>
  <si>
    <t xml:space="preserve">STEP 5 — Overrides (the loss-avoidance layer; ranks 1=Sell Immediately … 6=Strong Buy)</t>
  </si>
  <si>
    <t xml:space="preserve">OV Hard Sell (→ rank 1, always wins)</t>
  </si>
  <si>
    <t xml:space="preserve">Established: MA Cross = Death AND vs 200D &lt; hs_est_v200 AND (1M % &lt; hs_est_m1 OR 3M % &lt; hs_est_m3). Early: MA Cross = Death AND vs 200D &lt; hs_early_v200 AND 1M % &lt; hs_early_m1 (Early gets a shorter leash).</t>
  </si>
  <si>
    <t xml:space="preserve">OV Below 200D (cap)</t>
  </si>
  <si>
    <t xml:space="preserve">vs 200D &lt; 0 and no hard sell: Established capped at Hold (rank below200_cap_est); Early capped at Avoid (rank below200_cap_early). A stock under its 200D is never a buy.</t>
  </si>
  <si>
    <t xml:space="preserve">OV Insufficient history (cap Hold)</t>
  </si>
  <si>
    <t xml:space="preserve">History Days &lt; hist_min.</t>
  </si>
  <si>
    <t xml:space="preserve">OV Extended (cap Hold)</t>
  </si>
  <si>
    <t xml:space="preserve">1M % &gt; ext_m1 OR vs 50D &gt; ext_v50 OR RSI &gt; ext_rsi → don't chase; wait for a pullback.</t>
  </si>
  <si>
    <t xml:space="preserve">OV Earnings (cap Hold)</t>
  </si>
  <si>
    <t xml:space="preserve">0 ≤ Days to Earnings ≤ earn_days → no new entries into an earnings print.</t>
  </si>
  <si>
    <t xml:space="preserve">Final</t>
  </si>
  <si>
    <t xml:space="preserve">Final Rank = 1 if hard sell, else MIN(Base Rank, all active caps). Action = tier label for Final Rank. Flags lists the overrides that fired.</t>
  </si>
  <si>
    <t xml:space="preserve">NOTES FOR IMPLEMENTATION</t>
  </si>
  <si>
    <t xml:space="preserve">• Blank numeric cells must be treated as "no information" (0 points), never as 0 or as a large number — every formula wraps comparisons in ISNUMBER(). • MA Cross is matched on prefix ("Golden", "Death"). • Days to Earnings that are negative mean a stale date and are ignored. • The Parameters sheet values are starting points chosen so today's file gives a sensible spread; they are meant to be tuned by backtesting against the Fwd +1M/+3M/+6M % columns in the historical files. • Type is recomputed daily, so a company can migrate from Early to Established (e.g. once it turns profitable).</t>
  </si>
  <si>
    <t xml:space="preserve">Parameter</t>
  </si>
  <si>
    <t xml:space="preserve">Value</t>
  </si>
  <si>
    <t xml:space="preserve">Meaning</t>
  </si>
  <si>
    <t xml:space="preserve">Tier rank</t>
  </si>
  <si>
    <t xml:space="preserve">Action label</t>
  </si>
  <si>
    <t xml:space="preserve">COMPANY TYPE (Established vs Early)</t>
  </si>
  <si>
    <t xml:space="preserve">Sell Immediately</t>
  </si>
  <si>
    <t xml:space="preserve">mc_big</t>
  </si>
  <si>
    <t xml:space="preserve">Market Cap &gt;= this → +2 establishment pts</t>
  </si>
  <si>
    <t xml:space="preserve">Avoid</t>
  </si>
  <si>
    <t xml:space="preserve">mc_mid</t>
  </si>
  <si>
    <t xml:space="preserve">Market Cap &gt;= this (but &lt; mc_big) → +1</t>
  </si>
  <si>
    <t xml:space="preserve">Hold</t>
  </si>
  <si>
    <t xml:space="preserve">pm_est</t>
  </si>
  <si>
    <t xml:space="preserve">Profit Margin % &gt;= this (with positive Net Income) → +2; positive Net Income alone → +1</t>
  </si>
  <si>
    <t xml:space="preserve">Buy with Risk</t>
  </si>
  <si>
    <t xml:space="preserve">fm_est</t>
  </si>
  <si>
    <t xml:space="preserve">FCF Margin % &gt;= this (with positive FCF) → +1</t>
  </si>
  <si>
    <t xml:space="preserve">Buy</t>
  </si>
  <si>
    <t xml:space="preserve">pe_max</t>
  </si>
  <si>
    <t xml:space="preserve">Forward P/E between 0 and this → +1</t>
  </si>
  <si>
    <t xml:space="preserve">Strong Buy</t>
  </si>
  <si>
    <t xml:space="preserve">q_est</t>
  </si>
  <si>
    <t xml:space="preserve">Quality &gt;= this → +1</t>
  </si>
  <si>
    <t xml:space="preserve">est_min</t>
  </si>
  <si>
    <t xml:space="preserve">Establishment score &gt;= this → Established, else Early (max score = 7)</t>
  </si>
  <si>
    <t xml:space="preserve">Blue/yellow cells are the editable thresholds. Every formula on the Scored Data sheet references these cells, so changing a value here re-scores every stock.</t>
  </si>
  <si>
    <t xml:space="preserve">mc_override</t>
  </si>
  <si>
    <t xml:space="preserve">Market Cap &gt;= this → always Established regardless of score (e.g. TSLA)</t>
  </si>
  <si>
    <t xml:space="preserve">TECHNICAL SCORE (all types, range -10..+10)</t>
  </si>
  <si>
    <t xml:space="preserve">v200_hi</t>
  </si>
  <si>
    <t xml:space="preserve">vs 200D MA % &gt; this → +2; &gt; 0 → +1</t>
  </si>
  <si>
    <t xml:space="preserve">v200_lo</t>
  </si>
  <si>
    <t xml:space="preserve">vs 200D MA % &lt; 0 and &gt;= this → -1; &lt; this → -2</t>
  </si>
  <si>
    <t xml:space="preserve">v50_lo</t>
  </si>
  <si>
    <t xml:space="preserve">vs 50D MA % between v50_lo and v50_hi → +1 (healthy pullback / base)</t>
  </si>
  <si>
    <t xml:space="preserve">v50_hi</t>
  </si>
  <si>
    <t xml:space="preserve">v50_ext</t>
  </si>
  <si>
    <t xml:space="preserve">vs 50D MA % &gt; this → -1 (extended)</t>
  </si>
  <si>
    <t xml:space="preserve">v50_wk</t>
  </si>
  <si>
    <t xml:space="preserve">vs 50D MA % &lt; this → -1 (weak)</t>
  </si>
  <si>
    <t xml:space="preserve">rsi_lo</t>
  </si>
  <si>
    <t xml:space="preserve">RSI between rsi_lo and rsi_hi → +1</t>
  </si>
  <si>
    <t xml:space="preserve">rsi_hi</t>
  </si>
  <si>
    <t xml:space="preserve">rsi_ob</t>
  </si>
  <si>
    <t xml:space="preserve">RSI &gt; this → -1 (overbought)</t>
  </si>
  <si>
    <t xml:space="preserve">rsi_os</t>
  </si>
  <si>
    <t xml:space="preserve">RSI &lt; this → -1 (oversold / broken)</t>
  </si>
  <si>
    <t xml:space="preserve">md_up</t>
  </si>
  <si>
    <t xml:space="preserve">Momentum Delta (2 weeks) &gt; this → +1</t>
  </si>
  <si>
    <t xml:space="preserve">md_dn</t>
  </si>
  <si>
    <t xml:space="preserve">Momentum Delta (2 weeks) &lt; this → -1</t>
  </si>
  <si>
    <t xml:space="preserve">mo_hi</t>
  </si>
  <si>
    <t xml:space="preserve">Momentum score &gt;= this → +1</t>
  </si>
  <si>
    <t xml:space="preserve">mo_lo</t>
  </si>
  <si>
    <t xml:space="preserve">Momentum score &lt;= this → -1</t>
  </si>
  <si>
    <t xml:space="preserve">vt_hi</t>
  </si>
  <si>
    <t xml:space="preserve">Vol Trend % &gt; this: +1 if 1M % &gt; 0 (accumulation), -1 if 1M % &lt; 0 (distribution)</t>
  </si>
  <si>
    <t xml:space="preserve">fh_near</t>
  </si>
  <si>
    <t xml:space="preserve">% from 52W High &gt; this → +1</t>
  </si>
  <si>
    <t xml:space="preserve">fh_deep</t>
  </si>
  <si>
    <t xml:space="preserve">% from 52W High &lt; this → -1</t>
  </si>
  <si>
    <t xml:space="preserve">FUNDAMENTAL SCORE – ESTABLISHED (range -5..+7)</t>
  </si>
  <si>
    <t xml:space="preserve">q_hi</t>
  </si>
  <si>
    <t xml:space="preserve">Quality &gt;= this → +2</t>
  </si>
  <si>
    <t xml:space="preserve">q_mid</t>
  </si>
  <si>
    <t xml:space="preserve">q_low</t>
  </si>
  <si>
    <t xml:space="preserve">Quality &lt;= this → -1</t>
  </si>
  <si>
    <t xml:space="preserve">eg_est</t>
  </si>
  <si>
    <t xml:space="preserve">Earnings Growth % &gt; this → +1; &lt; 0 → -1</t>
  </si>
  <si>
    <t xml:space="preserve">rg_est</t>
  </si>
  <si>
    <t xml:space="preserve">Revenue Growth % &gt; this → +1; &lt; 0 → -1</t>
  </si>
  <si>
    <t xml:space="preserve">peg_ok</t>
  </si>
  <si>
    <t xml:space="preserve">PEG between 0 and this → +1</t>
  </si>
  <si>
    <t xml:space="preserve">peg_bad</t>
  </si>
  <si>
    <t xml:space="preserve">PEG &gt; this → -1 (negative PEG = 0 pts)</t>
  </si>
  <si>
    <t xml:space="preserve">fm_hi</t>
  </si>
  <si>
    <t xml:space="preserve">FCF Margin % &gt; this → +1; &lt; 0 → -1</t>
  </si>
  <si>
    <t xml:space="preserve">FUNDAMENTAL SCORE – EARLY (range -7..+6)</t>
  </si>
  <si>
    <t xml:space="preserve">rg_e2</t>
  </si>
  <si>
    <t xml:space="preserve">Revenue Growth % &gt; this → +2</t>
  </si>
  <si>
    <t xml:space="preserve">rg_e1</t>
  </si>
  <si>
    <t xml:space="preserve">Revenue Growth % &gt; this → +1</t>
  </si>
  <si>
    <t xml:space="preserve">rg_e_lo</t>
  </si>
  <si>
    <t xml:space="preserve">Revenue Growth % &lt; this → -1; &lt; 0 → -2</t>
  </si>
  <si>
    <t xml:space="preserve">gm_hi</t>
  </si>
  <si>
    <t xml:space="preserve">Gross Margin % &gt; this → +1</t>
  </si>
  <si>
    <t xml:space="preserve">gm_lo</t>
  </si>
  <si>
    <t xml:space="preserve">Gross Margin % &lt; this → -1</t>
  </si>
  <si>
    <t xml:space="preserve">fm_neg</t>
  </si>
  <si>
    <t xml:space="preserve">FCF TTM &gt; 0 → +1; else FCF Margin % &lt; this → -1</t>
  </si>
  <si>
    <t xml:space="preserve">sf_hi</t>
  </si>
  <si>
    <t xml:space="preserve">Short % Float &gt; this → -1</t>
  </si>
  <si>
    <t xml:space="preserve">sf_vhi</t>
  </si>
  <si>
    <t xml:space="preserve">Short % Float &gt; this → -2</t>
  </si>
  <si>
    <t xml:space="preserve">q_e_hi</t>
  </si>
  <si>
    <t xml:space="preserve">q_e_lo</t>
  </si>
  <si>
    <t xml:space="preserve">COMPOSITE &amp; TIERS</t>
  </si>
  <si>
    <t xml:space="preserve">early_fund_wt</t>
  </si>
  <si>
    <t xml:space="preserve">Early: Composite = Tech + this × Fund (technicals dominate). Established: Tech + Fund. ETF: Tech only</t>
  </si>
  <si>
    <t xml:space="preserve">est_sb</t>
  </si>
  <si>
    <t xml:space="preserve">Established: Composite &gt;= this → Strong Buy</t>
  </si>
  <si>
    <t xml:space="preserve">est_b</t>
  </si>
  <si>
    <t xml:space="preserve">Established: &gt;= this → Buy</t>
  </si>
  <si>
    <t xml:space="preserve">est_bwr</t>
  </si>
  <si>
    <t xml:space="preserve">Established: &gt;= this → Buy with Risk</t>
  </si>
  <si>
    <t xml:space="preserve">est_h</t>
  </si>
  <si>
    <t xml:space="preserve">Established: &gt;= this → Hold</t>
  </si>
  <si>
    <t xml:space="preserve">est_av</t>
  </si>
  <si>
    <t xml:space="preserve">Established: &gt;= this → Avoid; below → Sell Immediately</t>
  </si>
  <si>
    <t xml:space="preserve">early_b</t>
  </si>
  <si>
    <t xml:space="preserve">Early: &gt;= this → Buy (Early is never Strong Buy)</t>
  </si>
  <si>
    <t xml:space="preserve">early_bwr</t>
  </si>
  <si>
    <t xml:space="preserve">Early: &gt;= this → Buy with Risk</t>
  </si>
  <si>
    <t xml:space="preserve">early_h</t>
  </si>
  <si>
    <t xml:space="preserve">Early: &gt;= this → Hold</t>
  </si>
  <si>
    <t xml:space="preserve">early_av</t>
  </si>
  <si>
    <t xml:space="preserve">Early: &gt;= this → Avoid; below → Sell Immediately</t>
  </si>
  <si>
    <t xml:space="preserve">etf_sb</t>
  </si>
  <si>
    <t xml:space="preserve">ETF: Tech &gt;= this → Strong Buy</t>
  </si>
  <si>
    <t xml:space="preserve">etf_b</t>
  </si>
  <si>
    <t xml:space="preserve">ETF: &gt;= this → Buy</t>
  </si>
  <si>
    <t xml:space="preserve">etf_bwr</t>
  </si>
  <si>
    <t xml:space="preserve">ETF: &gt;= this → Buy with Risk</t>
  </si>
  <si>
    <t xml:space="preserve">etf_h</t>
  </si>
  <si>
    <t xml:space="preserve">ETF: &gt;= this → Hold</t>
  </si>
  <si>
    <t xml:space="preserve">etf_av</t>
  </si>
  <si>
    <t xml:space="preserve">ETF: &gt;= this → Avoid; below → Sell Immediately</t>
  </si>
  <si>
    <t xml:space="preserve">OVERRIDES (applied after base tier, in this order)</t>
  </si>
  <si>
    <t xml:space="preserve">hist_min</t>
  </si>
  <si>
    <t xml:space="preserve">History Days &lt; this → cap at Hold (not enough data to judge)</t>
  </si>
  <si>
    <t xml:space="preserve">hs_est_v200</t>
  </si>
  <si>
    <t xml:space="preserve">Established HARD SELL: Death cross AND vs 200D &lt; this AND (1M % &lt; hs_est_m1 OR 3M % &lt; hs_est_m3)</t>
  </si>
  <si>
    <t xml:space="preserve">hs_est_m1</t>
  </si>
  <si>
    <t xml:space="preserve">hs_est_m3</t>
  </si>
  <si>
    <t xml:space="preserve">hs_early_v200</t>
  </si>
  <si>
    <t xml:space="preserve">Early HARD SELL: Death cross AND vs 200D &lt; this AND 1M % &lt; hs_early_m1</t>
  </si>
  <si>
    <t xml:space="preserve">hs_early_m1</t>
  </si>
  <si>
    <t xml:space="preserve">below200_cap_est</t>
  </si>
  <si>
    <t xml:space="preserve">vs 200D &lt; 0 (no hard sell): Established capped at tier rank 3 (Hold)</t>
  </si>
  <si>
    <t xml:space="preserve">below200_cap_early</t>
  </si>
  <si>
    <t xml:space="preserve">vs 200D &lt; 0 (no hard sell): Early capped at tier rank 2 (Avoid)</t>
  </si>
  <si>
    <t xml:space="preserve">ext_m1</t>
  </si>
  <si>
    <t xml:space="preserve">EXTENDED: 1M % &gt; this OR vs 50D &gt; ext_v50 OR RSI &gt; ext_rsi → cap at Hold (wait for pullback)</t>
  </si>
  <si>
    <t xml:space="preserve">ext_v50</t>
  </si>
  <si>
    <t xml:space="preserve">ext_rsi</t>
  </si>
  <si>
    <t xml:space="preserve">earn_days</t>
  </si>
  <si>
    <t xml:space="preserve">Next Earnings within this many calendar days → cap at Hold (no new entries into earnings)</t>
  </si>
  <si>
    <t xml:space="preserve">Symbol</t>
  </si>
  <si>
    <t xml:space="preserve">Overall</t>
  </si>
  <si>
    <t xml:space="preserve">Momentum</t>
  </si>
  <si>
    <t xml:space="preserve">Past Momentum (2 weeks)</t>
  </si>
  <si>
    <t xml:space="preserve">Momentum Delta (2 weeks)</t>
  </si>
  <si>
    <t xml:space="preserve">Quality</t>
  </si>
  <si>
    <t xml:space="preserve">Name</t>
  </si>
  <si>
    <t xml:space="preserve">Portfolios</t>
  </si>
  <si>
    <t xml:space="preserve">Price</t>
  </si>
  <si>
    <t xml:space="preserve">Currency</t>
  </si>
  <si>
    <t xml:space="preserve">Sector</t>
  </si>
  <si>
    <t xml:space="preserve">Market Cap</t>
  </si>
  <si>
    <t xml:space="preserve">Last Earnings</t>
  </si>
  <si>
    <t xml:space="preserve">Last Surprise %</t>
  </si>
  <si>
    <t xml:space="preserve">Next Earnings</t>
  </si>
  <si>
    <t xml:space="preserve">Next Est?</t>
  </si>
  <si>
    <t xml:space="preserve">Today %</t>
  </si>
  <si>
    <t xml:space="preserve">Yesterday %</t>
  </si>
  <si>
    <t xml:space="preserve">1W %</t>
  </si>
  <si>
    <t xml:space="preserve">2W %</t>
  </si>
  <si>
    <t xml:space="preserve">1M %</t>
  </si>
  <si>
    <t xml:space="preserve">3M %</t>
  </si>
  <si>
    <t xml:space="preserve">6M %</t>
  </si>
  <si>
    <t xml:space="preserve">1Y %</t>
  </si>
  <si>
    <t xml:space="preserve">Fwd +1M %</t>
  </si>
  <si>
    <t xml:space="preserve">Fwd +3M %</t>
  </si>
  <si>
    <t xml:space="preserve">Fwd +6M %</t>
  </si>
  <si>
    <t xml:space="preserve">Fwd Since %</t>
  </si>
  <si>
    <t xml:space="preserve">RS vs S&amp;P %</t>
  </si>
  <si>
    <t xml:space="preserve">% from 52W High</t>
  </si>
  <si>
    <t xml:space="preserve">RSI</t>
  </si>
  <si>
    <t xml:space="preserve">vs 50D MA %</t>
  </si>
  <si>
    <t xml:space="preserve">vs 200D MA %</t>
  </si>
  <si>
    <t xml:space="preserve">MA Cross</t>
  </si>
  <si>
    <t xml:space="preserve">MACD Hist</t>
  </si>
  <si>
    <t xml:space="preserve">Vol Trend %</t>
  </si>
  <si>
    <t xml:space="preserve">Earnings Growth %</t>
  </si>
  <si>
    <t xml:space="preserve">Revenue Growth %</t>
  </si>
  <si>
    <t xml:space="preserve">Profit Margin %</t>
  </si>
  <si>
    <t xml:space="preserve">ROE %</t>
  </si>
  <si>
    <t xml:space="preserve">Forward P/E</t>
  </si>
  <si>
    <t xml:space="preserve">PEG</t>
  </si>
  <si>
    <t xml:space="preserve">Short % Float</t>
  </si>
  <si>
    <t xml:space="preserve">History Days</t>
  </si>
  <si>
    <t xml:space="preserve">Latest Data</t>
  </si>
  <si>
    <t xml:space="preserve">Revenue TTM</t>
  </si>
  <si>
    <t xml:space="preserve">Gross Profit TTM</t>
  </si>
  <si>
    <t xml:space="preserve">Gross Margin %</t>
  </si>
  <si>
    <t xml:space="preserve">Net Income TTM</t>
  </si>
  <si>
    <t xml:space="preserve">FCF TTM</t>
  </si>
  <si>
    <t xml:space="preserve">FCF Margin %</t>
  </si>
  <si>
    <t xml:space="preserve">Net Cash</t>
  </si>
  <si>
    <t xml:space="preserve">% from 52W Low</t>
  </si>
  <si>
    <t xml:space="preserve">52W Range Pos %</t>
  </si>
  <si>
    <t xml:space="preserve">Days to Earnings</t>
  </si>
  <si>
    <t xml:space="preserve">Is ETF</t>
  </si>
  <si>
    <t xml:space="preserve">Est Score</t>
  </si>
  <si>
    <t xml:space="preserve">Company Type</t>
  </si>
  <si>
    <t xml:space="preserve">T2 vs 200D</t>
  </si>
  <si>
    <t xml:space="preserve">T3 vs 50D</t>
  </si>
  <si>
    <t xml:space="preserve">T5 Mom Delta</t>
  </si>
  <si>
    <t xml:space="preserve">T6 Momentum</t>
  </si>
  <si>
    <t xml:space="preserve">T7 Volume</t>
  </si>
  <si>
    <t xml:space="preserve">T8 52W High</t>
  </si>
  <si>
    <t xml:space="preserve">Tech Score</t>
  </si>
  <si>
    <t xml:space="preserve">FE1 Quality</t>
  </si>
  <si>
    <t xml:space="preserve">FE2 Earn Growth</t>
  </si>
  <si>
    <t xml:space="preserve">FE3 Rev Growth</t>
  </si>
  <si>
    <t xml:space="preserve">FE4 PEG</t>
  </si>
  <si>
    <t xml:space="preserve">FE5 FCF Margin</t>
  </si>
  <si>
    <t xml:space="preserve">FE6 Net Cash</t>
  </si>
  <si>
    <t xml:space="preserve">EA1 Rev Growth</t>
  </si>
  <si>
    <t xml:space="preserve">EA2 Gross Margin</t>
  </si>
  <si>
    <t xml:space="preserve">EA3 FCF</t>
  </si>
  <si>
    <t xml:space="preserve">EA4 Profitable</t>
  </si>
  <si>
    <t xml:space="preserve">EA5 Short Float</t>
  </si>
  <si>
    <t xml:space="preserve">EA6 Quality</t>
  </si>
  <si>
    <t xml:space="preserve">Fund Score</t>
  </si>
  <si>
    <t xml:space="preserve">Base Rank</t>
  </si>
  <si>
    <t xml:space="preserve">OV Hist</t>
  </si>
  <si>
    <t xml:space="preserve">OV Hard Sell</t>
  </si>
  <si>
    <t xml:space="preserve">OV Below 200D</t>
  </si>
  <si>
    <t xml:space="preserve">OV Extended</t>
  </si>
  <si>
    <t xml:space="preserve">OV Earnings</t>
  </si>
  <si>
    <t xml:space="preserve">Final Rank</t>
  </si>
  <si>
    <t xml:space="preserve">Action</t>
  </si>
  <si>
    <t xml:space="preserve">Flags</t>
  </si>
  <si>
    <t xml:space="preserve">SKHY</t>
  </si>
  <si>
    <t xml:space="preserve">SK hynix Inc. American Depositary Receipt</t>
  </si>
  <si>
    <t xml:space="preserve">Memory</t>
  </si>
  <si>
    <t xml:space="preserve">USD</t>
  </si>
  <si>
    <t xml:space="preserve">Technology</t>
  </si>
  <si>
    <t xml:space="preserve">estimated</t>
  </si>
  <si>
    <t xml:space="preserve">MU</t>
  </si>
  <si>
    <t xml:space="preserve">Micron Technology, Inc.</t>
  </si>
  <si>
    <t xml:space="preserve">Chips; Memory</t>
  </si>
  <si>
    <t xml:space="preserve">Golden</t>
  </si>
  <si>
    <t xml:space="preserve">JPM</t>
  </si>
  <si>
    <t xml:space="preserve">JPMorgan Chase &amp; Co.</t>
  </si>
  <si>
    <t xml:space="preserve">Fin</t>
  </si>
  <si>
    <t xml:space="preserve">Financial Services</t>
  </si>
  <si>
    <t xml:space="preserve">Golden (62d)</t>
  </si>
  <si>
    <t xml:space="preserve">DELL</t>
  </si>
  <si>
    <t xml:space="preserve">Dell Technologies Inc. Class C Common Stock</t>
  </si>
  <si>
    <t xml:space="preserve">Hardware</t>
  </si>
  <si>
    <t xml:space="preserve">STX</t>
  </si>
  <si>
    <t xml:space="preserve">Seagate Technology Holdings plc</t>
  </si>
  <si>
    <t xml:space="preserve">TWLO</t>
  </si>
  <si>
    <t xml:space="preserve">Twilio Inc. Class A Common Stock</t>
  </si>
  <si>
    <t xml:space="preserve">Software</t>
  </si>
  <si>
    <t xml:space="preserve">AMD</t>
  </si>
  <si>
    <t xml:space="preserve">Advanced Micro Devices, Inc.</t>
  </si>
  <si>
    <t xml:space="preserve">Chips</t>
  </si>
  <si>
    <t xml:space="preserve">WDC</t>
  </si>
  <si>
    <t xml:space="preserve">Western Digital Corp.</t>
  </si>
  <si>
    <t xml:space="preserve">SNDK</t>
  </si>
  <si>
    <t xml:space="preserve">SanDisk Corporation</t>
  </si>
  <si>
    <t xml:space="preserve">TSM</t>
  </si>
  <si>
    <t xml:space="preserve">Taiwan Semiconductor Manufacturing Company Ltd. ADR</t>
  </si>
  <si>
    <t xml:space="preserve">AMAT</t>
  </si>
  <si>
    <t xml:space="preserve">Applied Materials Inc.</t>
  </si>
  <si>
    <t xml:space="preserve">AAPL</t>
  </si>
  <si>
    <t xml:space="preserve">Apple Inc.</t>
  </si>
  <si>
    <t xml:space="preserve">Mag 7</t>
  </si>
  <si>
    <t xml:space="preserve">005930</t>
  </si>
  <si>
    <t xml:space="preserve">Samsung Electronics Co., Ltd.</t>
  </si>
  <si>
    <t xml:space="preserve">KRW</t>
  </si>
  <si>
    <t xml:space="preserve">XOM</t>
  </si>
  <si>
    <t xml:space="preserve">ExxonMobil Holdings Corporation Common Stock</t>
  </si>
  <si>
    <t xml:space="preserve">Energy</t>
  </si>
  <si>
    <t xml:space="preserve">XLE</t>
  </si>
  <si>
    <t xml:space="preserve">State Street Energy Select Sector SPDR ETF</t>
  </si>
  <si>
    <t xml:space="preserve">MRVL</t>
  </si>
  <si>
    <t xml:space="preserve">Marvell Technology, Inc.</t>
  </si>
  <si>
    <t xml:space="preserve">LRCX</t>
  </si>
  <si>
    <t xml:space="preserve">Lam Research Corp.</t>
  </si>
  <si>
    <t xml:space="preserve">NVDA</t>
  </si>
  <si>
    <t xml:space="preserve">NVIDIA Corporation</t>
  </si>
  <si>
    <t xml:space="preserve">Mag 7; Chips</t>
  </si>
  <si>
    <t xml:space="preserve">MSFT</t>
  </si>
  <si>
    <t xml:space="preserve">Microsoft Corporation</t>
  </si>
  <si>
    <t xml:space="preserve">Golden (8d)</t>
  </si>
  <si>
    <t xml:space="preserve">LLY</t>
  </si>
  <si>
    <t xml:space="preserve">Eli Lilly and Company</t>
  </si>
  <si>
    <t xml:space="preserve">Watchlist</t>
  </si>
  <si>
    <t xml:space="preserve">Healthcare</t>
  </si>
  <si>
    <t xml:space="preserve">CRWD</t>
  </si>
  <si>
    <t xml:space="preserve">CrowdStrike Holdings, Inc.</t>
  </si>
  <si>
    <t xml:space="preserve">CyberSecurity</t>
  </si>
  <si>
    <t xml:space="preserve">Golden (75d)</t>
  </si>
  <si>
    <t xml:space="preserve">PANW</t>
  </si>
  <si>
    <t xml:space="preserve">Palo Alto Networks, Inc.</t>
  </si>
  <si>
    <t xml:space="preserve">Golden (73d)</t>
  </si>
  <si>
    <t xml:space="preserve">GEV</t>
  </si>
  <si>
    <t xml:space="preserve">GE Vernova Inc.</t>
  </si>
  <si>
    <t xml:space="preserve">Industrials</t>
  </si>
  <si>
    <t xml:space="preserve">SOXX</t>
  </si>
  <si>
    <t xml:space="preserve">iShares Semiconductor ETF</t>
  </si>
  <si>
    <t xml:space="preserve">ETFs</t>
  </si>
  <si>
    <t xml:space="preserve">AMZN</t>
  </si>
  <si>
    <t xml:space="preserve">Amazon.com, Inc.</t>
  </si>
  <si>
    <t xml:space="preserve">Consumer Cyclical</t>
  </si>
  <si>
    <t xml:space="preserve">Golden (88d)</t>
  </si>
  <si>
    <t xml:space="preserve">FLEX</t>
  </si>
  <si>
    <t xml:space="preserve">Flex Ltd.</t>
  </si>
  <si>
    <t xml:space="preserve">BUG</t>
  </si>
  <si>
    <t xml:space="preserve">Global X Cybersecurity ETF</t>
  </si>
  <si>
    <t xml:space="preserve">Golden (57d)</t>
  </si>
  <si>
    <t xml:space="preserve">SMH</t>
  </si>
  <si>
    <t xml:space="preserve">VanEck Semiconductor ETF</t>
  </si>
  <si>
    <t xml:space="preserve">CRM</t>
  </si>
  <si>
    <t xml:space="preserve">Salesforce Inc</t>
  </si>
  <si>
    <t xml:space="preserve">Death</t>
  </si>
  <si>
    <t xml:space="preserve">DDOG</t>
  </si>
  <si>
    <t xml:space="preserve">Datadog, Inc. Class A Common Stock</t>
  </si>
  <si>
    <t xml:space="preserve">Golden (78d)</t>
  </si>
  <si>
    <t xml:space="preserve">AFRM</t>
  </si>
  <si>
    <t xml:space="preserve">Affirm Holdings, Inc.</t>
  </si>
  <si>
    <t xml:space="preserve">Golden (55d)</t>
  </si>
  <si>
    <t xml:space="preserve">ZM</t>
  </si>
  <si>
    <t xml:space="preserve">Zoom Communications, Inc. Class A Common Stock</t>
  </si>
  <si>
    <t xml:space="preserve">Faded</t>
  </si>
  <si>
    <t xml:space="preserve">PLTR</t>
  </si>
  <si>
    <t xml:space="preserve">Palantir Technologies Inc.</t>
  </si>
  <si>
    <t xml:space="preserve">Golden (2d)</t>
  </si>
  <si>
    <t xml:space="preserve">BE</t>
  </si>
  <si>
    <t xml:space="preserve">Bloom Energy Corporation</t>
  </si>
  <si>
    <t xml:space="preserve">AVGO</t>
  </si>
  <si>
    <t xml:space="preserve">Broadcom Inc.</t>
  </si>
  <si>
    <t xml:space="preserve">SNOW</t>
  </si>
  <si>
    <t xml:space="preserve">Snowflake Inc.</t>
  </si>
  <si>
    <t xml:space="preserve">Golden (45d)</t>
  </si>
  <si>
    <t xml:space="preserve">GOOGL</t>
  </si>
  <si>
    <t xml:space="preserve">Alphabet Inc.</t>
  </si>
  <si>
    <t xml:space="preserve">Communication Services</t>
  </si>
  <si>
    <t xml:space="preserve">HOOD</t>
  </si>
  <si>
    <t xml:space="preserve">Robinhood Markets, Inc.</t>
  </si>
  <si>
    <t xml:space="preserve">Golden (24d)</t>
  </si>
  <si>
    <t xml:space="preserve">TEAM</t>
  </si>
  <si>
    <t xml:space="preserve">Atlassian Corporation Class A Common Stock</t>
  </si>
  <si>
    <t xml:space="preserve">Golden (12d)</t>
  </si>
  <si>
    <t xml:space="preserve">QQQ</t>
  </si>
  <si>
    <t xml:space="preserve">Invesco QQQ Trust, Series 1</t>
  </si>
  <si>
    <t xml:space="preserve">INTC</t>
  </si>
  <si>
    <t xml:space="preserve">Intel Corporation</t>
  </si>
  <si>
    <t xml:space="preserve">VRT</t>
  </si>
  <si>
    <t xml:space="preserve">Vertiv Holdings Co</t>
  </si>
  <si>
    <t xml:space="preserve">Industrials; Energy</t>
  </si>
  <si>
    <t xml:space="preserve">LITE</t>
  </si>
  <si>
    <t xml:space="preserve">Lumentum Holdings Inc.</t>
  </si>
  <si>
    <t xml:space="preserve">KLAC</t>
  </si>
  <si>
    <t xml:space="preserve">KLA Corporation</t>
  </si>
  <si>
    <t xml:space="preserve">GE</t>
  </si>
  <si>
    <t xml:space="preserve">General Electric Company</t>
  </si>
  <si>
    <t xml:space="preserve">Golden (60d)</t>
  </si>
  <si>
    <t xml:space="preserve">SMCI</t>
  </si>
  <si>
    <t xml:space="preserve">Super Micro Computer Inc</t>
  </si>
  <si>
    <t xml:space="preserve">Chips; Watchlist</t>
  </si>
  <si>
    <t xml:space="preserve">NEE</t>
  </si>
  <si>
    <t xml:space="preserve">NextEra Energy Inc.</t>
  </si>
  <si>
    <t xml:space="preserve">Energy; Utility</t>
  </si>
  <si>
    <t xml:space="preserve">Utilities</t>
  </si>
  <si>
    <t xml:space="preserve">Death (32d)</t>
  </si>
  <si>
    <t xml:space="preserve">MTUM</t>
  </si>
  <si>
    <t xml:space="preserve">iShares MSCI USA Momentum Factor ETF</t>
  </si>
  <si>
    <t xml:space="preserve">HPQ</t>
  </si>
  <si>
    <t xml:space="preserve">HP Inc.</t>
  </si>
  <si>
    <t xml:space="preserve">Golden (52d)</t>
  </si>
  <si>
    <t xml:space="preserve">ETN</t>
  </si>
  <si>
    <t xml:space="preserve">Eaton Corporation plc</t>
  </si>
  <si>
    <t xml:space="preserve">UBER</t>
  </si>
  <si>
    <t xml:space="preserve">Uber Technologies, Inc.</t>
  </si>
  <si>
    <t xml:space="preserve">CVNA</t>
  </si>
  <si>
    <t xml:space="preserve">Carvana Co.</t>
  </si>
  <si>
    <t xml:space="preserve">MDB</t>
  </si>
  <si>
    <t xml:space="preserve">MongoDB, Inc. Class A Common Stock</t>
  </si>
  <si>
    <t xml:space="preserve">Golden (38d)</t>
  </si>
  <si>
    <t xml:space="preserve">SHOP</t>
  </si>
  <si>
    <t xml:space="preserve">Shopify Inc.</t>
  </si>
  <si>
    <t xml:space="preserve">SBUX</t>
  </si>
  <si>
    <t xml:space="preserve">Starbucks Corp.</t>
  </si>
  <si>
    <t xml:space="preserve">KKR</t>
  </si>
  <si>
    <t xml:space="preserve">KKR &amp; Co. Inc.</t>
  </si>
  <si>
    <t xml:space="preserve">APP</t>
  </si>
  <si>
    <t xml:space="preserve">AppLovin Corporation Class A Common Stock</t>
  </si>
  <si>
    <t xml:space="preserve">SOFI</t>
  </si>
  <si>
    <t xml:space="preserve">SoFi Technologies, Inc.</t>
  </si>
  <si>
    <t xml:space="preserve">XLI</t>
  </si>
  <si>
    <t xml:space="preserve">State Street Industrial Select Sector SPDR ETF</t>
  </si>
  <si>
    <t xml:space="preserve">HON</t>
  </si>
  <si>
    <t xml:space="preserve">Honeywell International Inc.</t>
  </si>
  <si>
    <t xml:space="preserve">SPCX</t>
  </si>
  <si>
    <t xml:space="preserve">Space Exploration Technologies Corp. Class A</t>
  </si>
  <si>
    <t xml:space="preserve">META</t>
  </si>
  <si>
    <t xml:space="preserve">Meta Platforms Inc Class A</t>
  </si>
  <si>
    <t xml:space="preserve">NOW</t>
  </si>
  <si>
    <t xml:space="preserve">ServiceNow Inc.</t>
  </si>
  <si>
    <t xml:space="preserve">ORCL</t>
  </si>
  <si>
    <t xml:space="preserve">Oracle Corporation</t>
  </si>
  <si>
    <t xml:space="preserve">PTON</t>
  </si>
  <si>
    <t xml:space="preserve">Peloton Interactive Inc. Class A Common Stock</t>
  </si>
  <si>
    <t xml:space="preserve">Golden (36d)</t>
  </si>
  <si>
    <t xml:space="preserve">QCOM</t>
  </si>
  <si>
    <t xml:space="preserve">QUALCOMM Incorporated</t>
  </si>
  <si>
    <t xml:space="preserve">CEG</t>
  </si>
  <si>
    <t xml:space="preserve">Constellation Energy Corporation</t>
  </si>
  <si>
    <t xml:space="preserve">Watchlist; Energy</t>
  </si>
  <si>
    <t xml:space="preserve">PFE</t>
  </si>
  <si>
    <t xml:space="preserve">Pfizer Inc.</t>
  </si>
  <si>
    <t xml:space="preserve">Death (51d)</t>
  </si>
  <si>
    <t xml:space="preserve">ITA</t>
  </si>
  <si>
    <t xml:space="preserve">iShares U.S. Aerospace &amp; Defense ETF</t>
  </si>
  <si>
    <t xml:space="preserve">FTAI</t>
  </si>
  <si>
    <t xml:space="preserve">FTAI Aviation Ltd.</t>
  </si>
  <si>
    <t xml:space="preserve">Death (18d)</t>
  </si>
  <si>
    <t xml:space="preserve">EL</t>
  </si>
  <si>
    <t xml:space="preserve">The Estée Lauder Companies Inc. Class A Common Stock</t>
  </si>
  <si>
    <t xml:space="preserve">Consumer Defensive</t>
  </si>
  <si>
    <t xml:space="preserve">GLD</t>
  </si>
  <si>
    <t xml:space="preserve">SPDR Gold Shares</t>
  </si>
  <si>
    <t xml:space="preserve">DIS</t>
  </si>
  <si>
    <t xml:space="preserve">The Walt Disney Company</t>
  </si>
  <si>
    <t xml:space="preserve">CRWV</t>
  </si>
  <si>
    <t xml:space="preserve">CoreWeave, Inc.</t>
  </si>
  <si>
    <t xml:space="preserve">AVAV</t>
  </si>
  <si>
    <t xml:space="preserve">AeroVironment Inc.</t>
  </si>
  <si>
    <t xml:space="preserve">BA</t>
  </si>
  <si>
    <t xml:space="preserve">Boeing Co/The</t>
  </si>
  <si>
    <t xml:space="preserve">Death (7d)</t>
  </si>
  <si>
    <t xml:space="preserve">AXON</t>
  </si>
  <si>
    <t xml:space="preserve">Axon Enterprise Inc.</t>
  </si>
  <si>
    <t xml:space="preserve">Golden (23d)</t>
  </si>
  <si>
    <t xml:space="preserve">CAVA</t>
  </si>
  <si>
    <t xml:space="preserve">Cava Group Inc.</t>
  </si>
  <si>
    <t xml:space="preserve">Death (11d)</t>
  </si>
  <si>
    <t xml:space="preserve">ERIC</t>
  </si>
  <si>
    <t xml:space="preserve">Telefonaktiebolaget LM Ericsson Sponsored ADR</t>
  </si>
  <si>
    <t xml:space="preserve">Death (20d)</t>
  </si>
  <si>
    <t xml:space="preserve">KSS</t>
  </si>
  <si>
    <t xml:space="preserve">Kohl's Corporation Common Stock</t>
  </si>
  <si>
    <t xml:space="preserve">Golden (27d)</t>
  </si>
  <si>
    <t xml:space="preserve">JOBY</t>
  </si>
  <si>
    <t xml:space="preserve">Joby Aviation, Inc.</t>
  </si>
  <si>
    <t xml:space="preserve">IBM</t>
  </si>
  <si>
    <t xml:space="preserve">International Business Machines Corporation</t>
  </si>
  <si>
    <t xml:space="preserve">VST</t>
  </si>
  <si>
    <t xml:space="preserve">Vistra Corp.</t>
  </si>
  <si>
    <t xml:space="preserve">PDD</t>
  </si>
  <si>
    <t xml:space="preserve">PDD Holdings Inc. American Depositary Receipt</t>
  </si>
  <si>
    <t xml:space="preserve">China</t>
  </si>
  <si>
    <t xml:space="preserve">DRAM</t>
  </si>
  <si>
    <t xml:space="preserve">Roundhill Memory ETF</t>
  </si>
  <si>
    <t xml:space="preserve">Memory; ETFs</t>
  </si>
  <si>
    <t xml:space="preserve">SHAK</t>
  </si>
  <si>
    <t xml:space="preserve">Shake Shack Inc.</t>
  </si>
  <si>
    <t xml:space="preserve">TSLA</t>
  </si>
  <si>
    <t xml:space="preserve">Tesla, Inc.</t>
  </si>
  <si>
    <t xml:space="preserve">LUMN</t>
  </si>
  <si>
    <t xml:space="preserve">Lumen Technologies, Inc.</t>
  </si>
  <si>
    <t xml:space="preserve">Death (31d)</t>
  </si>
  <si>
    <t xml:space="preserve">BABA</t>
  </si>
  <si>
    <t xml:space="preserve">Alibaba Group Holding Limited SP ADR</t>
  </si>
  <si>
    <t xml:space="preserve">Watchlist; China</t>
  </si>
  <si>
    <t xml:space="preserve">VFC</t>
  </si>
  <si>
    <t xml:space="preserve">VF Corporation</t>
  </si>
  <si>
    <t xml:space="preserve">Death (47d)</t>
  </si>
  <si>
    <t xml:space="preserve">MSTR</t>
  </si>
  <si>
    <t xml:space="preserve">Strategy Inc.</t>
  </si>
  <si>
    <t xml:space="preserve">SG</t>
  </si>
  <si>
    <t xml:space="preserve">Sweetgreen Inc.</t>
  </si>
  <si>
    <t xml:space="preserve">Death (3d)</t>
  </si>
  <si>
    <t xml:space="preserve">KWEB</t>
  </si>
  <si>
    <t xml:space="preserve">KraneShares CSI China Internet ETF</t>
  </si>
</sst>
</file>

<file path=xl/styles.xml><?xml version="1.0" encoding="utf-8"?>
<styleSheet xmlns="http://schemas.openxmlformats.org/spreadsheetml/2006/main">
  <numFmts count="5">
    <numFmt numFmtId="164" formatCode="General"/>
    <numFmt numFmtId="165" formatCode="#,##0"/>
    <numFmt numFmtId="166" formatCode="yyyy\-mm\-dd"/>
    <numFmt numFmtId="167" formatCode="0"/>
    <numFmt numFmtId="168" formatCode="0.0"/>
  </numFmts>
  <fonts count="10">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
      <sz val="10"/>
      <name val="Arial"/>
      <family val="2"/>
    </font>
  </fonts>
  <fills count="7">
    <fill>
      <patternFill patternType="none"/>
    </fill>
    <fill>
      <patternFill patternType="gray125"/>
    </fill>
    <fill>
      <patternFill patternType="solid">
        <fgColor rgb="FF1F3864"/>
        <bgColor rgb="FF333399"/>
      </patternFill>
    </fill>
    <fill>
      <patternFill patternType="solid">
        <fgColor rgb="FFD9E1F2"/>
        <bgColor rgb="FFCCFFFF"/>
      </patternFill>
    </fill>
    <fill>
      <patternFill patternType="solid">
        <fgColor rgb="FFFFF2CC"/>
        <bgColor rgb="FFFFFFFF"/>
      </patternFill>
    </fill>
    <fill>
      <patternFill patternType="solid">
        <fgColor rgb="FF7F6000"/>
        <bgColor rgb="FF993300"/>
      </patternFill>
    </fill>
    <fill>
      <patternFill patternType="solid">
        <fgColor rgb="FF385723"/>
        <bgColor rgb="FF3333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8" fillId="4"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7F6000"/>
          <bgColor rgb="FF000000"/>
        </patternFill>
      </fill>
    </dxf>
    <dxf>
      <fill>
        <patternFill patternType="solid">
          <fgColor rgb="FF385723"/>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C0C0C0"/>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857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110"/>
  </cols>
  <sheetData>
    <row r="1" customFormat="false" ht="15" hidden="false" customHeight="false" outlineLevel="0" collapsed="false">
      <c r="A1" s="1" t="s">
        <v>0</v>
      </c>
      <c r="B1" s="2"/>
      <c r="C1" s="2"/>
    </row>
    <row r="2" customFormat="false" ht="75" hidden="false" customHeight="true" outlineLevel="0" collapsed="false">
      <c r="B2" s="3" t="s">
        <v>1</v>
      </c>
      <c r="C2" s="3"/>
    </row>
    <row r="3" customFormat="false" ht="15" hidden="false" customHeight="false" outlineLevel="0" collapsed="false">
      <c r="A3" s="1" t="s">
        <v>2</v>
      </c>
      <c r="B3" s="2"/>
      <c r="C3" s="2"/>
    </row>
    <row r="4" customFormat="false" ht="30" hidden="false" customHeight="true" outlineLevel="0" collapsed="false">
      <c r="B4" s="4" t="s">
        <v>3</v>
      </c>
      <c r="C4" s="5" t="s">
        <v>4</v>
      </c>
    </row>
    <row r="5" customFormat="false" ht="45" hidden="false" customHeight="true" outlineLevel="0" collapsed="false">
      <c r="B5" s="4" t="s">
        <v>5</v>
      </c>
      <c r="C5" s="5" t="s">
        <v>6</v>
      </c>
    </row>
    <row r="6" customFormat="false" ht="45" hidden="false" customHeight="true" outlineLevel="0" collapsed="false">
      <c r="B6" s="4" t="s">
        <v>7</v>
      </c>
      <c r="C6" s="5" t="s">
        <v>8</v>
      </c>
    </row>
    <row r="7" customFormat="false" ht="15" hidden="false" customHeight="false" outlineLevel="0" collapsed="false">
      <c r="A7" s="1" t="s">
        <v>9</v>
      </c>
      <c r="B7" s="2"/>
      <c r="C7" s="2"/>
    </row>
    <row r="8" customFormat="false" ht="30" hidden="false" customHeight="true" outlineLevel="0" collapsed="false">
      <c r="B8" s="4" t="s">
        <v>10</v>
      </c>
      <c r="C8" s="5" t="s">
        <v>11</v>
      </c>
    </row>
    <row r="9" customFormat="false" ht="30" hidden="false" customHeight="true" outlineLevel="0" collapsed="false">
      <c r="B9" s="4" t="s">
        <v>12</v>
      </c>
      <c r="C9" s="5" t="s">
        <v>13</v>
      </c>
    </row>
    <row r="10" customFormat="false" ht="30" hidden="false" customHeight="true" outlineLevel="0" collapsed="false">
      <c r="B10" s="4" t="s">
        <v>14</v>
      </c>
      <c r="C10" s="5" t="s">
        <v>15</v>
      </c>
    </row>
    <row r="11" customFormat="false" ht="30" hidden="false" customHeight="true" outlineLevel="0" collapsed="false">
      <c r="B11" s="4" t="s">
        <v>16</v>
      </c>
      <c r="C11" s="5" t="s">
        <v>17</v>
      </c>
    </row>
    <row r="12" customFormat="false" ht="30" hidden="false" customHeight="true" outlineLevel="0" collapsed="false">
      <c r="B12" s="4" t="s">
        <v>18</v>
      </c>
      <c r="C12" s="5" t="s">
        <v>19</v>
      </c>
    </row>
    <row r="13" customFormat="false" ht="30" hidden="false" customHeight="true" outlineLevel="0" collapsed="false">
      <c r="B13" s="4" t="s">
        <v>20</v>
      </c>
      <c r="C13" s="5" t="s">
        <v>21</v>
      </c>
    </row>
    <row r="14" customFormat="false" ht="30" hidden="false" customHeight="true" outlineLevel="0" collapsed="false">
      <c r="B14" s="4" t="s">
        <v>22</v>
      </c>
      <c r="C14" s="5" t="s">
        <v>23</v>
      </c>
    </row>
    <row r="15" customFormat="false" ht="30" hidden="false" customHeight="true" outlineLevel="0" collapsed="false">
      <c r="B15" s="4" t="s">
        <v>24</v>
      </c>
      <c r="C15" s="5" t="s">
        <v>25</v>
      </c>
    </row>
    <row r="16" customFormat="false" ht="15" hidden="false" customHeight="false" outlineLevel="0" collapsed="false">
      <c r="A16" s="1" t="s">
        <v>26</v>
      </c>
      <c r="B16" s="2"/>
      <c r="C16" s="2"/>
    </row>
    <row r="17" customFormat="false" ht="45" hidden="false" customHeight="true" outlineLevel="0" collapsed="false">
      <c r="B17" s="4" t="s">
        <v>27</v>
      </c>
      <c r="C17" s="5" t="s">
        <v>28</v>
      </c>
    </row>
    <row r="18" customFormat="false" ht="75" hidden="false" customHeight="true" outlineLevel="0" collapsed="false">
      <c r="B18" s="4" t="s">
        <v>29</v>
      </c>
      <c r="C18" s="5" t="s">
        <v>30</v>
      </c>
    </row>
    <row r="19" customFormat="false" ht="30" hidden="false" customHeight="true" outlineLevel="0" collapsed="false">
      <c r="B19" s="4" t="s">
        <v>31</v>
      </c>
      <c r="C19" s="5" t="s">
        <v>32</v>
      </c>
    </row>
    <row r="20" customFormat="false" ht="15" hidden="false" customHeight="false" outlineLevel="0" collapsed="false">
      <c r="A20" s="1" t="s">
        <v>33</v>
      </c>
      <c r="B20" s="2"/>
      <c r="C20" s="2"/>
    </row>
    <row r="21" customFormat="false" ht="30" hidden="false" customHeight="true" outlineLevel="0" collapsed="false">
      <c r="B21" s="4" t="s">
        <v>34</v>
      </c>
      <c r="C21" s="5" t="s">
        <v>35</v>
      </c>
    </row>
    <row r="22" customFormat="false" ht="30" hidden="false" customHeight="true" outlineLevel="0" collapsed="false">
      <c r="B22" s="4" t="s">
        <v>36</v>
      </c>
      <c r="C22" s="5" t="s">
        <v>37</v>
      </c>
    </row>
    <row r="23" customFormat="false" ht="30" hidden="false" customHeight="true" outlineLevel="0" collapsed="false">
      <c r="B23" s="4" t="s">
        <v>38</v>
      </c>
      <c r="C23" s="5" t="s">
        <v>39</v>
      </c>
    </row>
    <row r="24" customFormat="false" ht="30" hidden="false" customHeight="true" outlineLevel="0" collapsed="false">
      <c r="B24" s="4" t="s">
        <v>40</v>
      </c>
      <c r="C24" s="5" t="s">
        <v>41</v>
      </c>
    </row>
    <row r="25" customFormat="false" ht="15" hidden="false" customHeight="false" outlineLevel="0" collapsed="false">
      <c r="A25" s="1" t="s">
        <v>42</v>
      </c>
      <c r="B25" s="2"/>
      <c r="C25" s="2"/>
    </row>
    <row r="26" customFormat="false" ht="45" hidden="false" customHeight="true" outlineLevel="0" collapsed="false">
      <c r="B26" s="4" t="s">
        <v>43</v>
      </c>
      <c r="C26" s="5" t="s">
        <v>44</v>
      </c>
    </row>
    <row r="27" customFormat="false" ht="30" hidden="false" customHeight="true" outlineLevel="0" collapsed="false">
      <c r="B27" s="4" t="s">
        <v>45</v>
      </c>
      <c r="C27" s="5" t="s">
        <v>46</v>
      </c>
    </row>
    <row r="28" customFormat="false" ht="30" hidden="false" customHeight="true" outlineLevel="0" collapsed="false">
      <c r="B28" s="4" t="s">
        <v>47</v>
      </c>
      <c r="C28" s="5" t="s">
        <v>48</v>
      </c>
    </row>
    <row r="29" customFormat="false" ht="30" hidden="false" customHeight="true" outlineLevel="0" collapsed="false">
      <c r="B29" s="4" t="s">
        <v>49</v>
      </c>
      <c r="C29" s="5" t="s">
        <v>50</v>
      </c>
    </row>
    <row r="30" customFormat="false" ht="30" hidden="false" customHeight="true" outlineLevel="0" collapsed="false">
      <c r="B30" s="4" t="s">
        <v>51</v>
      </c>
      <c r="C30" s="5" t="s">
        <v>52</v>
      </c>
    </row>
    <row r="31" customFormat="false" ht="30" hidden="false" customHeight="true" outlineLevel="0" collapsed="false">
      <c r="B31" s="4" t="s">
        <v>53</v>
      </c>
      <c r="C31" s="5" t="s">
        <v>54</v>
      </c>
    </row>
    <row r="32" customFormat="false" ht="15" hidden="false" customHeight="false" outlineLevel="0" collapsed="false">
      <c r="A32" s="1" t="s">
        <v>55</v>
      </c>
      <c r="B32" s="2"/>
      <c r="C32" s="2"/>
    </row>
    <row r="33" customFormat="false" ht="75" hidden="false" customHeight="true" outlineLevel="0" collapsed="false">
      <c r="B33" s="3" t="s">
        <v>56</v>
      </c>
      <c r="C33" s="3"/>
    </row>
  </sheetData>
  <mergeCells count="2">
    <mergeCell ref="B2:C2"/>
    <mergeCell ref="B33:C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6"/>
    <col collapsed="false" customWidth="true" hidden="false" outlineLevel="0" max="3" min="3" style="0" width="95"/>
    <col collapsed="false" customWidth="true" hidden="false" outlineLevel="0" max="5" min="5" style="0" width="10"/>
    <col collapsed="false" customWidth="true" hidden="false" outlineLevel="0" max="6" min="6" style="0" width="18"/>
  </cols>
  <sheetData>
    <row r="1" customFormat="false" ht="15" hidden="false" customHeight="false" outlineLevel="0" collapsed="false">
      <c r="A1" s="6" t="s">
        <v>57</v>
      </c>
      <c r="B1" s="6" t="s">
        <v>58</v>
      </c>
      <c r="C1" s="6" t="s">
        <v>59</v>
      </c>
      <c r="E1" s="7" t="s">
        <v>60</v>
      </c>
      <c r="F1" s="7" t="s">
        <v>61</v>
      </c>
    </row>
    <row r="2" customFormat="false" ht="15" hidden="false" customHeight="false" outlineLevel="0" collapsed="false">
      <c r="A2" s="8" t="s">
        <v>62</v>
      </c>
      <c r="B2" s="9"/>
      <c r="C2" s="9"/>
      <c r="E2" s="10" t="n">
        <v>1</v>
      </c>
      <c r="F2" s="10" t="s">
        <v>63</v>
      </c>
    </row>
    <row r="3" customFormat="false" ht="15" hidden="false" customHeight="false" outlineLevel="0" collapsed="false">
      <c r="A3" s="10" t="s">
        <v>64</v>
      </c>
      <c r="B3" s="11" t="n">
        <v>100000000000</v>
      </c>
      <c r="C3" s="10" t="s">
        <v>65</v>
      </c>
      <c r="E3" s="10" t="n">
        <v>2</v>
      </c>
      <c r="F3" s="10" t="s">
        <v>66</v>
      </c>
    </row>
    <row r="4" customFormat="false" ht="15" hidden="false" customHeight="false" outlineLevel="0" collapsed="false">
      <c r="A4" s="10" t="s">
        <v>67</v>
      </c>
      <c r="B4" s="11" t="n">
        <v>20000000000</v>
      </c>
      <c r="C4" s="10" t="s">
        <v>68</v>
      </c>
      <c r="E4" s="10" t="n">
        <v>3</v>
      </c>
      <c r="F4" s="10" t="s">
        <v>69</v>
      </c>
    </row>
    <row r="5" customFormat="false" ht="15" hidden="false" customHeight="false" outlineLevel="0" collapsed="false">
      <c r="A5" s="10" t="s">
        <v>70</v>
      </c>
      <c r="B5" s="12" t="n">
        <v>5</v>
      </c>
      <c r="C5" s="10" t="s">
        <v>71</v>
      </c>
      <c r="E5" s="10" t="n">
        <v>4</v>
      </c>
      <c r="F5" s="10" t="s">
        <v>72</v>
      </c>
    </row>
    <row r="6" customFormat="false" ht="15" hidden="false" customHeight="false" outlineLevel="0" collapsed="false">
      <c r="A6" s="10" t="s">
        <v>73</v>
      </c>
      <c r="B6" s="12" t="n">
        <v>5</v>
      </c>
      <c r="C6" s="10" t="s">
        <v>74</v>
      </c>
      <c r="E6" s="10" t="n">
        <v>5</v>
      </c>
      <c r="F6" s="10" t="s">
        <v>75</v>
      </c>
    </row>
    <row r="7" customFormat="false" ht="15" hidden="false" customHeight="false" outlineLevel="0" collapsed="false">
      <c r="A7" s="10" t="s">
        <v>76</v>
      </c>
      <c r="B7" s="12" t="n">
        <v>40</v>
      </c>
      <c r="C7" s="10" t="s">
        <v>77</v>
      </c>
      <c r="E7" s="10" t="n">
        <v>6</v>
      </c>
      <c r="F7" s="10" t="s">
        <v>78</v>
      </c>
    </row>
    <row r="8" customFormat="false" ht="15" hidden="false" customHeight="false" outlineLevel="0" collapsed="false">
      <c r="A8" s="10" t="s">
        <v>79</v>
      </c>
      <c r="B8" s="12" t="n">
        <v>7</v>
      </c>
      <c r="C8" s="10" t="s">
        <v>80</v>
      </c>
    </row>
    <row r="9" customFormat="false" ht="15" hidden="false" customHeight="false" outlineLevel="0" collapsed="false">
      <c r="A9" s="10" t="s">
        <v>81</v>
      </c>
      <c r="B9" s="12" t="n">
        <v>5</v>
      </c>
      <c r="C9" s="10" t="s">
        <v>82</v>
      </c>
      <c r="E9" s="10" t="s">
        <v>83</v>
      </c>
    </row>
    <row r="10" customFormat="false" ht="15" hidden="false" customHeight="false" outlineLevel="0" collapsed="false">
      <c r="A10" s="10" t="s">
        <v>84</v>
      </c>
      <c r="B10" s="11" t="n">
        <v>200000000000</v>
      </c>
      <c r="C10" s="10" t="s">
        <v>85</v>
      </c>
    </row>
    <row r="11" customFormat="false" ht="15" hidden="false" customHeight="false" outlineLevel="0" collapsed="false">
      <c r="A11" s="8" t="s">
        <v>86</v>
      </c>
      <c r="B11" s="9"/>
      <c r="C11" s="9"/>
    </row>
    <row r="12" customFormat="false" ht="15" hidden="false" customHeight="false" outlineLevel="0" collapsed="false">
      <c r="A12" s="10" t="s">
        <v>87</v>
      </c>
      <c r="B12" s="12" t="n">
        <v>10</v>
      </c>
      <c r="C12" s="10" t="s">
        <v>88</v>
      </c>
    </row>
    <row r="13" customFormat="false" ht="15" hidden="false" customHeight="false" outlineLevel="0" collapsed="false">
      <c r="A13" s="10" t="s">
        <v>89</v>
      </c>
      <c r="B13" s="12" t="n">
        <v>-10</v>
      </c>
      <c r="C13" s="10" t="s">
        <v>90</v>
      </c>
    </row>
    <row r="14" customFormat="false" ht="15" hidden="false" customHeight="false" outlineLevel="0" collapsed="false">
      <c r="A14" s="10" t="s">
        <v>91</v>
      </c>
      <c r="B14" s="12" t="n">
        <v>-3</v>
      </c>
      <c r="C14" s="10" t="s">
        <v>92</v>
      </c>
    </row>
    <row r="15" customFormat="false" ht="15" hidden="false" customHeight="false" outlineLevel="0" collapsed="false">
      <c r="A15" s="10" t="s">
        <v>93</v>
      </c>
      <c r="B15" s="12" t="n">
        <v>8</v>
      </c>
      <c r="C15" s="10"/>
    </row>
    <row r="16" customFormat="false" ht="15" hidden="false" customHeight="false" outlineLevel="0" collapsed="false">
      <c r="A16" s="10" t="s">
        <v>94</v>
      </c>
      <c r="B16" s="12" t="n">
        <v>15</v>
      </c>
      <c r="C16" s="10" t="s">
        <v>95</v>
      </c>
    </row>
    <row r="17" customFormat="false" ht="15" hidden="false" customHeight="false" outlineLevel="0" collapsed="false">
      <c r="A17" s="10" t="s">
        <v>96</v>
      </c>
      <c r="B17" s="12" t="n">
        <v>-8</v>
      </c>
      <c r="C17" s="10" t="s">
        <v>97</v>
      </c>
    </row>
    <row r="18" customFormat="false" ht="15" hidden="false" customHeight="false" outlineLevel="0" collapsed="false">
      <c r="A18" s="10" t="s">
        <v>98</v>
      </c>
      <c r="B18" s="12" t="n">
        <v>45</v>
      </c>
      <c r="C18" s="10" t="s">
        <v>99</v>
      </c>
    </row>
    <row r="19" customFormat="false" ht="15" hidden="false" customHeight="false" outlineLevel="0" collapsed="false">
      <c r="A19" s="10" t="s">
        <v>100</v>
      </c>
      <c r="B19" s="12" t="n">
        <v>65</v>
      </c>
      <c r="C19" s="10"/>
    </row>
    <row r="20" customFormat="false" ht="15" hidden="false" customHeight="false" outlineLevel="0" collapsed="false">
      <c r="A20" s="10" t="s">
        <v>101</v>
      </c>
      <c r="B20" s="12" t="n">
        <v>72</v>
      </c>
      <c r="C20" s="10" t="s">
        <v>102</v>
      </c>
    </row>
    <row r="21" customFormat="false" ht="15" hidden="false" customHeight="false" outlineLevel="0" collapsed="false">
      <c r="A21" s="10" t="s">
        <v>103</v>
      </c>
      <c r="B21" s="12" t="n">
        <v>35</v>
      </c>
      <c r="C21" s="10" t="s">
        <v>104</v>
      </c>
    </row>
    <row r="22" customFormat="false" ht="15" hidden="false" customHeight="false" outlineLevel="0" collapsed="false">
      <c r="A22" s="10" t="s">
        <v>105</v>
      </c>
      <c r="B22" s="12" t="n">
        <v>3</v>
      </c>
      <c r="C22" s="10" t="s">
        <v>106</v>
      </c>
    </row>
    <row r="23" customFormat="false" ht="15" hidden="false" customHeight="false" outlineLevel="0" collapsed="false">
      <c r="A23" s="10" t="s">
        <v>107</v>
      </c>
      <c r="B23" s="12" t="n">
        <v>-5</v>
      </c>
      <c r="C23" s="10" t="s">
        <v>108</v>
      </c>
    </row>
    <row r="24" customFormat="false" ht="15" hidden="false" customHeight="false" outlineLevel="0" collapsed="false">
      <c r="A24" s="10" t="s">
        <v>109</v>
      </c>
      <c r="B24" s="12" t="n">
        <v>7</v>
      </c>
      <c r="C24" s="10" t="s">
        <v>110</v>
      </c>
    </row>
    <row r="25" customFormat="false" ht="15" hidden="false" customHeight="false" outlineLevel="0" collapsed="false">
      <c r="A25" s="10" t="s">
        <v>111</v>
      </c>
      <c r="B25" s="12" t="n">
        <v>3</v>
      </c>
      <c r="C25" s="10" t="s">
        <v>112</v>
      </c>
    </row>
    <row r="26" customFormat="false" ht="15" hidden="false" customHeight="false" outlineLevel="0" collapsed="false">
      <c r="A26" s="10" t="s">
        <v>113</v>
      </c>
      <c r="B26" s="12" t="n">
        <v>10</v>
      </c>
      <c r="C26" s="10" t="s">
        <v>114</v>
      </c>
    </row>
    <row r="27" customFormat="false" ht="15" hidden="false" customHeight="false" outlineLevel="0" collapsed="false">
      <c r="A27" s="10" t="s">
        <v>115</v>
      </c>
      <c r="B27" s="12" t="n">
        <v>-10</v>
      </c>
      <c r="C27" s="10" t="s">
        <v>116</v>
      </c>
    </row>
    <row r="28" customFormat="false" ht="15" hidden="false" customHeight="false" outlineLevel="0" collapsed="false">
      <c r="A28" s="10" t="s">
        <v>117</v>
      </c>
      <c r="B28" s="12" t="n">
        <v>-30</v>
      </c>
      <c r="C28" s="10" t="s">
        <v>118</v>
      </c>
    </row>
    <row r="29" customFormat="false" ht="15" hidden="false" customHeight="false" outlineLevel="0" collapsed="false">
      <c r="A29" s="8" t="s">
        <v>119</v>
      </c>
      <c r="B29" s="9"/>
      <c r="C29" s="9"/>
    </row>
    <row r="30" customFormat="false" ht="15" hidden="false" customHeight="false" outlineLevel="0" collapsed="false">
      <c r="A30" s="10" t="s">
        <v>120</v>
      </c>
      <c r="B30" s="12" t="n">
        <v>8</v>
      </c>
      <c r="C30" s="10" t="s">
        <v>121</v>
      </c>
    </row>
    <row r="31" customFormat="false" ht="15" hidden="false" customHeight="false" outlineLevel="0" collapsed="false">
      <c r="A31" s="10" t="s">
        <v>122</v>
      </c>
      <c r="B31" s="12" t="n">
        <v>6</v>
      </c>
      <c r="C31" s="10" t="s">
        <v>80</v>
      </c>
    </row>
    <row r="32" customFormat="false" ht="15" hidden="false" customHeight="false" outlineLevel="0" collapsed="false">
      <c r="A32" s="10" t="s">
        <v>123</v>
      </c>
      <c r="B32" s="12" t="n">
        <v>4</v>
      </c>
      <c r="C32" s="10" t="s">
        <v>124</v>
      </c>
    </row>
    <row r="33" customFormat="false" ht="15" hidden="false" customHeight="false" outlineLevel="0" collapsed="false">
      <c r="A33" s="10" t="s">
        <v>125</v>
      </c>
      <c r="B33" s="12" t="n">
        <v>15</v>
      </c>
      <c r="C33" s="10" t="s">
        <v>126</v>
      </c>
    </row>
    <row r="34" customFormat="false" ht="15" hidden="false" customHeight="false" outlineLevel="0" collapsed="false">
      <c r="A34" s="10" t="s">
        <v>127</v>
      </c>
      <c r="B34" s="12" t="n">
        <v>10</v>
      </c>
      <c r="C34" s="10" t="s">
        <v>128</v>
      </c>
    </row>
    <row r="35" customFormat="false" ht="15" hidden="false" customHeight="false" outlineLevel="0" collapsed="false">
      <c r="A35" s="10" t="s">
        <v>129</v>
      </c>
      <c r="B35" s="12" t="n">
        <v>1.5</v>
      </c>
      <c r="C35" s="10" t="s">
        <v>130</v>
      </c>
    </row>
    <row r="36" customFormat="false" ht="15" hidden="false" customHeight="false" outlineLevel="0" collapsed="false">
      <c r="A36" s="10" t="s">
        <v>131</v>
      </c>
      <c r="B36" s="12" t="n">
        <v>3</v>
      </c>
      <c r="C36" s="10" t="s">
        <v>132</v>
      </c>
    </row>
    <row r="37" customFormat="false" ht="15" hidden="false" customHeight="false" outlineLevel="0" collapsed="false">
      <c r="A37" s="10" t="s">
        <v>133</v>
      </c>
      <c r="B37" s="12" t="n">
        <v>10</v>
      </c>
      <c r="C37" s="10" t="s">
        <v>134</v>
      </c>
    </row>
    <row r="38" customFormat="false" ht="15" hidden="false" customHeight="false" outlineLevel="0" collapsed="false">
      <c r="A38" s="8" t="s">
        <v>135</v>
      </c>
      <c r="B38" s="9"/>
      <c r="C38" s="9"/>
    </row>
    <row r="39" customFormat="false" ht="15" hidden="false" customHeight="false" outlineLevel="0" collapsed="false">
      <c r="A39" s="10" t="s">
        <v>136</v>
      </c>
      <c r="B39" s="12" t="n">
        <v>30</v>
      </c>
      <c r="C39" s="10" t="s">
        <v>137</v>
      </c>
    </row>
    <row r="40" customFormat="false" ht="15" hidden="false" customHeight="false" outlineLevel="0" collapsed="false">
      <c r="A40" s="10" t="s">
        <v>138</v>
      </c>
      <c r="B40" s="12" t="n">
        <v>15</v>
      </c>
      <c r="C40" s="10" t="s">
        <v>139</v>
      </c>
    </row>
    <row r="41" customFormat="false" ht="15" hidden="false" customHeight="false" outlineLevel="0" collapsed="false">
      <c r="A41" s="10" t="s">
        <v>140</v>
      </c>
      <c r="B41" s="12" t="n">
        <v>5</v>
      </c>
      <c r="C41" s="10" t="s">
        <v>141</v>
      </c>
    </row>
    <row r="42" customFormat="false" ht="15" hidden="false" customHeight="false" outlineLevel="0" collapsed="false">
      <c r="A42" s="10" t="s">
        <v>142</v>
      </c>
      <c r="B42" s="12" t="n">
        <v>50</v>
      </c>
      <c r="C42" s="10" t="s">
        <v>143</v>
      </c>
    </row>
    <row r="43" customFormat="false" ht="15" hidden="false" customHeight="false" outlineLevel="0" collapsed="false">
      <c r="A43" s="10" t="s">
        <v>144</v>
      </c>
      <c r="B43" s="12" t="n">
        <v>25</v>
      </c>
      <c r="C43" s="10" t="s">
        <v>145</v>
      </c>
    </row>
    <row r="44" customFormat="false" ht="15" hidden="false" customHeight="false" outlineLevel="0" collapsed="false">
      <c r="A44" s="10" t="s">
        <v>146</v>
      </c>
      <c r="B44" s="12" t="n">
        <v>-20</v>
      </c>
      <c r="C44" s="10" t="s">
        <v>147</v>
      </c>
    </row>
    <row r="45" customFormat="false" ht="15" hidden="false" customHeight="false" outlineLevel="0" collapsed="false">
      <c r="A45" s="10" t="s">
        <v>148</v>
      </c>
      <c r="B45" s="12" t="n">
        <v>15</v>
      </c>
      <c r="C45" s="10" t="s">
        <v>149</v>
      </c>
    </row>
    <row r="46" customFormat="false" ht="15" hidden="false" customHeight="false" outlineLevel="0" collapsed="false">
      <c r="A46" s="10" t="s">
        <v>150</v>
      </c>
      <c r="B46" s="12" t="n">
        <v>25</v>
      </c>
      <c r="C46" s="10" t="s">
        <v>151</v>
      </c>
    </row>
    <row r="47" customFormat="false" ht="15" hidden="false" customHeight="false" outlineLevel="0" collapsed="false">
      <c r="A47" s="10" t="s">
        <v>152</v>
      </c>
      <c r="B47" s="12" t="n">
        <v>6</v>
      </c>
      <c r="C47" s="10" t="s">
        <v>80</v>
      </c>
    </row>
    <row r="48" customFormat="false" ht="15" hidden="false" customHeight="false" outlineLevel="0" collapsed="false">
      <c r="A48" s="10" t="s">
        <v>153</v>
      </c>
      <c r="B48" s="12" t="n">
        <v>3</v>
      </c>
      <c r="C48" s="10" t="s">
        <v>124</v>
      </c>
    </row>
    <row r="49" customFormat="false" ht="15" hidden="false" customHeight="false" outlineLevel="0" collapsed="false">
      <c r="A49" s="8" t="s">
        <v>154</v>
      </c>
      <c r="B49" s="9"/>
      <c r="C49" s="9"/>
    </row>
    <row r="50" customFormat="false" ht="15" hidden="false" customHeight="false" outlineLevel="0" collapsed="false">
      <c r="A50" s="10" t="s">
        <v>155</v>
      </c>
      <c r="B50" s="12" t="n">
        <v>0.5</v>
      </c>
      <c r="C50" s="10" t="s">
        <v>156</v>
      </c>
    </row>
    <row r="51" customFormat="false" ht="15" hidden="false" customHeight="false" outlineLevel="0" collapsed="false">
      <c r="A51" s="10" t="s">
        <v>157</v>
      </c>
      <c r="B51" s="12" t="n">
        <v>13</v>
      </c>
      <c r="C51" s="10" t="s">
        <v>158</v>
      </c>
    </row>
    <row r="52" customFormat="false" ht="15" hidden="false" customHeight="false" outlineLevel="0" collapsed="false">
      <c r="A52" s="10" t="s">
        <v>159</v>
      </c>
      <c r="B52" s="12" t="n">
        <v>9</v>
      </c>
      <c r="C52" s="10" t="s">
        <v>160</v>
      </c>
    </row>
    <row r="53" customFormat="false" ht="15" hidden="false" customHeight="false" outlineLevel="0" collapsed="false">
      <c r="A53" s="10" t="s">
        <v>161</v>
      </c>
      <c r="B53" s="12" t="n">
        <v>5</v>
      </c>
      <c r="C53" s="10" t="s">
        <v>162</v>
      </c>
    </row>
    <row r="54" customFormat="false" ht="15" hidden="false" customHeight="false" outlineLevel="0" collapsed="false">
      <c r="A54" s="10" t="s">
        <v>163</v>
      </c>
      <c r="B54" s="12" t="n">
        <v>0</v>
      </c>
      <c r="C54" s="10" t="s">
        <v>164</v>
      </c>
    </row>
    <row r="55" customFormat="false" ht="15" hidden="false" customHeight="false" outlineLevel="0" collapsed="false">
      <c r="A55" s="10" t="s">
        <v>165</v>
      </c>
      <c r="B55" s="12" t="n">
        <v>-5</v>
      </c>
      <c r="C55" s="10" t="s">
        <v>166</v>
      </c>
    </row>
    <row r="56" customFormat="false" ht="15" hidden="false" customHeight="false" outlineLevel="0" collapsed="false">
      <c r="A56" s="10" t="s">
        <v>167</v>
      </c>
      <c r="B56" s="12" t="n">
        <v>9</v>
      </c>
      <c r="C56" s="10" t="s">
        <v>168</v>
      </c>
    </row>
    <row r="57" customFormat="false" ht="15" hidden="false" customHeight="false" outlineLevel="0" collapsed="false">
      <c r="A57" s="10" t="s">
        <v>169</v>
      </c>
      <c r="B57" s="12" t="n">
        <v>5</v>
      </c>
      <c r="C57" s="10" t="s">
        <v>170</v>
      </c>
    </row>
    <row r="58" customFormat="false" ht="15" hidden="false" customHeight="false" outlineLevel="0" collapsed="false">
      <c r="A58" s="10" t="s">
        <v>171</v>
      </c>
      <c r="B58" s="12" t="n">
        <v>1</v>
      </c>
      <c r="C58" s="10" t="s">
        <v>172</v>
      </c>
    </row>
    <row r="59" customFormat="false" ht="15" hidden="false" customHeight="false" outlineLevel="0" collapsed="false">
      <c r="A59" s="10" t="s">
        <v>173</v>
      </c>
      <c r="B59" s="12" t="n">
        <v>-4</v>
      </c>
      <c r="C59" s="10" t="s">
        <v>174</v>
      </c>
    </row>
    <row r="60" customFormat="false" ht="15" hidden="false" customHeight="false" outlineLevel="0" collapsed="false">
      <c r="A60" s="10" t="s">
        <v>175</v>
      </c>
      <c r="B60" s="12" t="n">
        <v>8</v>
      </c>
      <c r="C60" s="10" t="s">
        <v>176</v>
      </c>
    </row>
    <row r="61" customFormat="false" ht="15" hidden="false" customHeight="false" outlineLevel="0" collapsed="false">
      <c r="A61" s="10" t="s">
        <v>177</v>
      </c>
      <c r="B61" s="12" t="n">
        <v>5</v>
      </c>
      <c r="C61" s="10" t="s">
        <v>178</v>
      </c>
    </row>
    <row r="62" customFormat="false" ht="15" hidden="false" customHeight="false" outlineLevel="0" collapsed="false">
      <c r="A62" s="10" t="s">
        <v>179</v>
      </c>
      <c r="B62" s="12" t="n">
        <v>2</v>
      </c>
      <c r="C62" s="10" t="s">
        <v>180</v>
      </c>
    </row>
    <row r="63" customFormat="false" ht="15" hidden="false" customHeight="false" outlineLevel="0" collapsed="false">
      <c r="A63" s="10" t="s">
        <v>181</v>
      </c>
      <c r="B63" s="12" t="n">
        <v>0</v>
      </c>
      <c r="C63" s="10" t="s">
        <v>182</v>
      </c>
    </row>
    <row r="64" customFormat="false" ht="15" hidden="false" customHeight="false" outlineLevel="0" collapsed="false">
      <c r="A64" s="10" t="s">
        <v>183</v>
      </c>
      <c r="B64" s="12" t="n">
        <v>-5</v>
      </c>
      <c r="C64" s="10" t="s">
        <v>184</v>
      </c>
    </row>
    <row r="65" customFormat="false" ht="15" hidden="false" customHeight="false" outlineLevel="0" collapsed="false">
      <c r="A65" s="8" t="s">
        <v>185</v>
      </c>
      <c r="B65" s="9"/>
      <c r="C65" s="9"/>
    </row>
    <row r="66" customFormat="false" ht="15" hidden="false" customHeight="false" outlineLevel="0" collapsed="false">
      <c r="A66" s="10" t="s">
        <v>186</v>
      </c>
      <c r="B66" s="12" t="n">
        <v>100</v>
      </c>
      <c r="C66" s="10" t="s">
        <v>187</v>
      </c>
    </row>
    <row r="67" customFormat="false" ht="15" hidden="false" customHeight="false" outlineLevel="0" collapsed="false">
      <c r="A67" s="10" t="s">
        <v>188</v>
      </c>
      <c r="B67" s="12" t="n">
        <v>-10</v>
      </c>
      <c r="C67" s="10" t="s">
        <v>189</v>
      </c>
    </row>
    <row r="68" customFormat="false" ht="15" hidden="false" customHeight="false" outlineLevel="0" collapsed="false">
      <c r="A68" s="10" t="s">
        <v>190</v>
      </c>
      <c r="B68" s="12" t="n">
        <v>-8</v>
      </c>
      <c r="C68" s="10"/>
    </row>
    <row r="69" customFormat="false" ht="15" hidden="false" customHeight="false" outlineLevel="0" collapsed="false">
      <c r="A69" s="10" t="s">
        <v>191</v>
      </c>
      <c r="B69" s="12" t="n">
        <v>-15</v>
      </c>
      <c r="C69" s="10"/>
    </row>
    <row r="70" customFormat="false" ht="15" hidden="false" customHeight="false" outlineLevel="0" collapsed="false">
      <c r="A70" s="10" t="s">
        <v>192</v>
      </c>
      <c r="B70" s="12" t="n">
        <v>-5</v>
      </c>
      <c r="C70" s="10" t="s">
        <v>193</v>
      </c>
    </row>
    <row r="71" customFormat="false" ht="15" hidden="false" customHeight="false" outlineLevel="0" collapsed="false">
      <c r="A71" s="10" t="s">
        <v>194</v>
      </c>
      <c r="B71" s="12" t="n">
        <v>-5</v>
      </c>
      <c r="C71" s="10"/>
    </row>
    <row r="72" customFormat="false" ht="15" hidden="false" customHeight="false" outlineLevel="0" collapsed="false">
      <c r="A72" s="10" t="s">
        <v>195</v>
      </c>
      <c r="B72" s="12" t="n">
        <v>3</v>
      </c>
      <c r="C72" s="10" t="s">
        <v>196</v>
      </c>
    </row>
    <row r="73" customFormat="false" ht="15" hidden="false" customHeight="false" outlineLevel="0" collapsed="false">
      <c r="A73" s="10" t="s">
        <v>197</v>
      </c>
      <c r="B73" s="12" t="n">
        <v>2</v>
      </c>
      <c r="C73" s="10" t="s">
        <v>198</v>
      </c>
    </row>
    <row r="74" customFormat="false" ht="15" hidden="false" customHeight="false" outlineLevel="0" collapsed="false">
      <c r="A74" s="10" t="s">
        <v>199</v>
      </c>
      <c r="B74" s="12" t="n">
        <v>25</v>
      </c>
      <c r="C74" s="10" t="s">
        <v>200</v>
      </c>
    </row>
    <row r="75" customFormat="false" ht="15" hidden="false" customHeight="false" outlineLevel="0" collapsed="false">
      <c r="A75" s="10" t="s">
        <v>201</v>
      </c>
      <c r="B75" s="12" t="n">
        <v>15</v>
      </c>
      <c r="C75" s="10"/>
    </row>
    <row r="76" customFormat="false" ht="15" hidden="false" customHeight="false" outlineLevel="0" collapsed="false">
      <c r="A76" s="10" t="s">
        <v>202</v>
      </c>
      <c r="B76" s="12" t="n">
        <v>72</v>
      </c>
      <c r="C76" s="10"/>
    </row>
    <row r="77" customFormat="false" ht="15" hidden="false" customHeight="false" outlineLevel="0" collapsed="false">
      <c r="A77" s="10" t="s">
        <v>203</v>
      </c>
      <c r="B77" s="12" t="n">
        <v>7</v>
      </c>
      <c r="C77" s="10" t="s">
        <v>204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L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6" min="1" style="0" width="13"/>
    <col collapsed="false" customWidth="true" hidden="false" outlineLevel="0" max="7" min="7" style="0" width="28"/>
    <col collapsed="false" customWidth="true" hidden="false" outlineLevel="0" max="88" min="8" style="0" width="13"/>
    <col collapsed="false" customWidth="true" hidden="false" outlineLevel="0" max="89" min="89" style="0" width="16"/>
    <col collapsed="false" customWidth="true" hidden="false" outlineLevel="0" max="90" min="90" style="0" width="40"/>
  </cols>
  <sheetData>
    <row r="1" customFormat="false" ht="35.05" hidden="false" customHeight="false" outlineLevel="0" collapsed="false">
      <c r="A1" s="6" t="s">
        <v>205</v>
      </c>
      <c r="B1" s="6" t="s">
        <v>206</v>
      </c>
      <c r="C1" s="6" t="s">
        <v>207</v>
      </c>
      <c r="D1" s="6" t="s">
        <v>208</v>
      </c>
      <c r="E1" s="6" t="s">
        <v>209</v>
      </c>
      <c r="F1" s="6" t="s">
        <v>210</v>
      </c>
      <c r="G1" s="6" t="s">
        <v>211</v>
      </c>
      <c r="H1" s="6" t="s">
        <v>212</v>
      </c>
      <c r="I1" s="6" t="s">
        <v>213</v>
      </c>
      <c r="J1" s="6" t="s">
        <v>214</v>
      </c>
      <c r="K1" s="6" t="s">
        <v>215</v>
      </c>
      <c r="L1" s="6" t="s">
        <v>216</v>
      </c>
      <c r="M1" s="6" t="s">
        <v>217</v>
      </c>
      <c r="N1" s="6" t="s">
        <v>218</v>
      </c>
      <c r="O1" s="6" t="s">
        <v>219</v>
      </c>
      <c r="P1" s="6" t="s">
        <v>220</v>
      </c>
      <c r="Q1" s="6" t="s">
        <v>221</v>
      </c>
      <c r="R1" s="6" t="s">
        <v>222</v>
      </c>
      <c r="S1" s="6" t="s">
        <v>223</v>
      </c>
      <c r="T1" s="6" t="s">
        <v>224</v>
      </c>
      <c r="U1" s="6" t="s">
        <v>225</v>
      </c>
      <c r="V1" s="6" t="s">
        <v>226</v>
      </c>
      <c r="W1" s="6" t="s">
        <v>227</v>
      </c>
      <c r="X1" s="6" t="s">
        <v>228</v>
      </c>
      <c r="Y1" s="6" t="s">
        <v>229</v>
      </c>
      <c r="Z1" s="6" t="s">
        <v>230</v>
      </c>
      <c r="AA1" s="6" t="s">
        <v>231</v>
      </c>
      <c r="AB1" s="6" t="s">
        <v>232</v>
      </c>
      <c r="AC1" s="6" t="s">
        <v>233</v>
      </c>
      <c r="AD1" s="6" t="s">
        <v>234</v>
      </c>
      <c r="AE1" s="6" t="s">
        <v>235</v>
      </c>
      <c r="AF1" s="6" t="s">
        <v>236</v>
      </c>
      <c r="AG1" s="6" t="s">
        <v>237</v>
      </c>
      <c r="AH1" s="6" t="s">
        <v>238</v>
      </c>
      <c r="AI1" s="6" t="s">
        <v>239</v>
      </c>
      <c r="AJ1" s="6" t="s">
        <v>240</v>
      </c>
      <c r="AK1" s="6" t="s">
        <v>241</v>
      </c>
      <c r="AL1" s="6" t="s">
        <v>242</v>
      </c>
      <c r="AM1" s="6" t="s">
        <v>243</v>
      </c>
      <c r="AN1" s="6" t="s">
        <v>244</v>
      </c>
      <c r="AO1" s="6" t="s">
        <v>245</v>
      </c>
      <c r="AP1" s="6" t="s">
        <v>246</v>
      </c>
      <c r="AQ1" s="6" t="s">
        <v>247</v>
      </c>
      <c r="AR1" s="6" t="s">
        <v>248</v>
      </c>
      <c r="AS1" s="6" t="s">
        <v>249</v>
      </c>
      <c r="AT1" s="6" t="s">
        <v>250</v>
      </c>
      <c r="AU1" s="6" t="s">
        <v>251</v>
      </c>
      <c r="AV1" s="6" t="s">
        <v>252</v>
      </c>
      <c r="AW1" s="6" t="s">
        <v>253</v>
      </c>
      <c r="AX1" s="6" t="s">
        <v>254</v>
      </c>
      <c r="AY1" s="6" t="s">
        <v>255</v>
      </c>
      <c r="AZ1" s="6" t="s">
        <v>256</v>
      </c>
      <c r="BA1" s="6" t="s">
        <v>257</v>
      </c>
      <c r="BB1" s="6" t="s">
        <v>258</v>
      </c>
      <c r="BC1" s="13" t="s">
        <v>259</v>
      </c>
      <c r="BD1" s="13" t="s">
        <v>260</v>
      </c>
      <c r="BE1" s="13" t="s">
        <v>261</v>
      </c>
      <c r="BF1" s="14" t="s">
        <v>262</v>
      </c>
      <c r="BG1" s="13" t="s">
        <v>10</v>
      </c>
      <c r="BH1" s="13" t="s">
        <v>263</v>
      </c>
      <c r="BI1" s="13" t="s">
        <v>264</v>
      </c>
      <c r="BJ1" s="13" t="s">
        <v>16</v>
      </c>
      <c r="BK1" s="13" t="s">
        <v>265</v>
      </c>
      <c r="BL1" s="13" t="s">
        <v>266</v>
      </c>
      <c r="BM1" s="13" t="s">
        <v>267</v>
      </c>
      <c r="BN1" s="13" t="s">
        <v>268</v>
      </c>
      <c r="BO1" s="13" t="s">
        <v>269</v>
      </c>
      <c r="BP1" s="13" t="s">
        <v>270</v>
      </c>
      <c r="BQ1" s="13" t="s">
        <v>271</v>
      </c>
      <c r="BR1" s="13" t="s">
        <v>272</v>
      </c>
      <c r="BS1" s="13" t="s">
        <v>273</v>
      </c>
      <c r="BT1" s="13" t="s">
        <v>274</v>
      </c>
      <c r="BU1" s="13" t="s">
        <v>275</v>
      </c>
      <c r="BV1" s="13" t="s">
        <v>276</v>
      </c>
      <c r="BW1" s="13" t="s">
        <v>277</v>
      </c>
      <c r="BX1" s="13" t="s">
        <v>278</v>
      </c>
      <c r="BY1" s="13" t="s">
        <v>279</v>
      </c>
      <c r="BZ1" s="13" t="s">
        <v>280</v>
      </c>
      <c r="CA1" s="13" t="s">
        <v>281</v>
      </c>
      <c r="CB1" s="13" t="s">
        <v>282</v>
      </c>
      <c r="CC1" s="13" t="s">
        <v>34</v>
      </c>
      <c r="CD1" s="13" t="s">
        <v>283</v>
      </c>
      <c r="CE1" s="13" t="s">
        <v>284</v>
      </c>
      <c r="CF1" s="13" t="s">
        <v>285</v>
      </c>
      <c r="CG1" s="13" t="s">
        <v>286</v>
      </c>
      <c r="CH1" s="13" t="s">
        <v>287</v>
      </c>
      <c r="CI1" s="13" t="s">
        <v>288</v>
      </c>
      <c r="CJ1" s="13" t="s">
        <v>289</v>
      </c>
      <c r="CK1" s="14" t="s">
        <v>290</v>
      </c>
      <c r="CL1" s="14" t="s">
        <v>291</v>
      </c>
    </row>
    <row r="2" customFormat="false" ht="15" hidden="false" customHeight="false" outlineLevel="0" collapsed="false">
      <c r="A2" s="10" t="s">
        <v>292</v>
      </c>
      <c r="B2" s="10" t="n">
        <v>10</v>
      </c>
      <c r="C2" s="10"/>
      <c r="D2" s="10"/>
      <c r="E2" s="10"/>
      <c r="F2" s="10" t="n">
        <v>10</v>
      </c>
      <c r="G2" s="10" t="s">
        <v>293</v>
      </c>
      <c r="H2" s="10" t="s">
        <v>294</v>
      </c>
      <c r="I2" s="10" t="n">
        <v>190.67</v>
      </c>
      <c r="J2" s="10" t="s">
        <v>295</v>
      </c>
      <c r="K2" s="10" t="s">
        <v>296</v>
      </c>
      <c r="L2" s="15" t="n">
        <v>1409984769993</v>
      </c>
      <c r="M2" s="16" t="n">
        <v>46232</v>
      </c>
      <c r="N2" s="10" t="n">
        <v>86.04</v>
      </c>
      <c r="O2" s="16" t="n">
        <v>46323</v>
      </c>
      <c r="P2" s="10" t="s">
        <v>297</v>
      </c>
      <c r="Q2" s="10" t="n">
        <v>-4.01</v>
      </c>
      <c r="R2" s="10" t="n">
        <v>7.05</v>
      </c>
      <c r="S2" s="10" t="n">
        <v>15.57</v>
      </c>
      <c r="T2" s="10" t="n">
        <v>20.66</v>
      </c>
      <c r="U2" s="10" t="n">
        <v>34.61</v>
      </c>
      <c r="V2" s="10"/>
      <c r="W2" s="10"/>
      <c r="X2" s="10"/>
      <c r="Y2" s="10"/>
      <c r="Z2" s="10"/>
      <c r="AA2" s="10"/>
      <c r="AB2" s="10"/>
      <c r="AC2" s="10"/>
      <c r="AD2" s="10" t="n">
        <v>-4.6</v>
      </c>
      <c r="AE2" s="10" t="n">
        <v>62.55</v>
      </c>
      <c r="AF2" s="10"/>
      <c r="AG2" s="10"/>
      <c r="AH2" s="10"/>
      <c r="AI2" s="10" t="n">
        <v>3.69</v>
      </c>
      <c r="AJ2" s="10" t="n">
        <v>-0.65</v>
      </c>
      <c r="AK2" s="10" t="n">
        <v>1240.8</v>
      </c>
      <c r="AL2" s="10" t="n">
        <v>256.8</v>
      </c>
      <c r="AM2" s="10" t="n">
        <v>85.62</v>
      </c>
      <c r="AN2" s="10" t="n">
        <v>354.06</v>
      </c>
      <c r="AO2" s="10" t="n">
        <v>5.56</v>
      </c>
      <c r="AP2" s="10" t="n">
        <v>0.01</v>
      </c>
      <c r="AQ2" s="10" t="n">
        <v>0.4</v>
      </c>
      <c r="AR2" s="10" t="n">
        <v>44</v>
      </c>
      <c r="AS2" s="16" t="n">
        <v>46275</v>
      </c>
      <c r="AT2" s="15" t="n">
        <v>140924537488</v>
      </c>
      <c r="AU2" s="15" t="n">
        <v>107480027316</v>
      </c>
      <c r="AV2" s="10" t="n">
        <v>76.27</v>
      </c>
      <c r="AW2" s="15" t="n">
        <v>120657742722</v>
      </c>
      <c r="AX2" s="15" t="n">
        <v>41545003272</v>
      </c>
      <c r="AY2" s="10" t="n">
        <v>29.48</v>
      </c>
      <c r="AZ2" s="15" t="n">
        <v>26468371611</v>
      </c>
      <c r="BA2" s="10" t="n">
        <v>52.78</v>
      </c>
      <c r="BB2" s="10" t="n">
        <v>87.74</v>
      </c>
      <c r="BC2" s="17" t="n">
        <f aca="false">IF(AND(ISNUMBER(O2),ISNUMBER(AS2)),O2-AS2,"")</f>
        <v>48</v>
      </c>
      <c r="BD2" s="10" t="n">
        <f aca="false">IF(OR(ISNUMBER(SEARCH("ETF",H2)),AND(F2="",AO2="")),1,0)</f>
        <v>0</v>
      </c>
      <c r="BE2" s="17" t="n">
        <f aca="false">IF(ISNUMBER(L2),IF(L2&gt;=Parameters!$B$3,2,IF(L2&gt;=Parameters!$B$4,1,0)),0)+IF(ISNUMBER(AW2),IF(AW2&gt;0,IF(AND(ISNUMBER(AM2),AM2&gt;=Parameters!$B$5),2,1),0),0)+IF(ISNUMBER(AX2),IF(AND(AX2&gt;0,ISNUMBER(AY2),AY2&gt;=Parameters!$B$6),1,0),0)+IF(ISNUMBER(AO2),IF(AND(AO2&gt;0,AO2&lt;=Parameters!$B$7),1,0),0)+IF(ISNUMBER(F2),IF(F2&gt;=Parameters!$B$8,1,0),0)</f>
        <v>7</v>
      </c>
      <c r="BF2" s="10" t="str">
        <f aca="false">IF(BD2=1,"ETF",IF(OR(AND(ISNUMBER(L2),L2&gt;=Parameters!$B$10),BE2&gt;=Parameters!$B$9),"Established","Early"))</f>
        <v>Established</v>
      </c>
      <c r="BG2" s="10" t="n">
        <f aca="false">IF(LEFT(AH2,6)="Golden",2,IF(LEFT(AH2,5)="Death",-2,0))</f>
        <v>0</v>
      </c>
      <c r="BH2" s="10" t="n">
        <f aca="false">IF(ISNUMBER(AG2),IF(AG2&gt;Parameters!$B$12,2,IF(AG2&gt;0,1,IF(AG2&gt;=Parameters!$B$13,-1,-2))),0)</f>
        <v>0</v>
      </c>
      <c r="BI2" s="10" t="n">
        <f aca="false">IF(ISNUMBER(AF2),IF(AND(AF2&gt;=Parameters!$B$14,AF2&lt;=Parameters!$B$15),1,IF(OR(AF2&gt;Parameters!$B$16,AF2&lt;Parameters!$B$17),-1,0)),0)</f>
        <v>0</v>
      </c>
      <c r="BJ2" s="10" t="n">
        <f aca="false">IF(ISNUMBER(AE2),IF(AND(AE2&gt;=Parameters!$B$18,AE2&lt;=Parameters!$B$19),1,IF(OR(AE2&gt;Parameters!$B$20,AE2&lt;Parameters!$B$21),-1,0)),0)</f>
        <v>1</v>
      </c>
      <c r="BK2" s="10" t="n">
        <f aca="false">IF(ISNUMBER(E2),IF(E2&gt;Parameters!$B$22,1,IF(E2&lt;Parameters!$B$23,-1,0)),0)</f>
        <v>0</v>
      </c>
      <c r="BL2" s="10" t="n">
        <f aca="false">IF(ISNUMBER(C2),IF(C2&gt;=Parameters!$B$24,1,IF(C2&lt;=Parameters!$B$25,-1,0)),0)</f>
        <v>0</v>
      </c>
      <c r="BM2" s="10" t="n">
        <f aca="false">IF(ISNUMBER(AJ2),IF(AND(AJ2&gt;Parameters!$B$26,ISNUMBER(U2)),IF(U2&lt;0,-1,1),0),0)</f>
        <v>0</v>
      </c>
      <c r="BN2" s="10" t="n">
        <f aca="false">IF(ISNUMBER(AD2),IF(AD2&gt;Parameters!$B$27,1,IF(AD2&lt;Parameters!$B$28,-1,0)),0)</f>
        <v>1</v>
      </c>
      <c r="BO2" s="17" t="n">
        <f aca="false">BG2+BH2+BI2+BJ2+BK2+BL2+BM2+BN2</f>
        <v>2</v>
      </c>
      <c r="BP2" s="10" t="n">
        <f aca="false">IF(ISNUMBER(F2),IF(F2&gt;=Parameters!$B$30,2,IF(F2&gt;=Parameters!$B$31,1,IF(F2&lt;=Parameters!$B$32,-1,0))),0)</f>
        <v>2</v>
      </c>
      <c r="BQ2" s="10" t="n">
        <f aca="false">IF(ISNUMBER(AK2),IF(AK2&gt;Parameters!$B$33,1,IF(AK2&lt;0,-1,0)),0)</f>
        <v>1</v>
      </c>
      <c r="BR2" s="10" t="n">
        <f aca="false">IF(ISNUMBER(AL2),IF(AL2&gt;Parameters!$B$34,1,IF(AL2&lt;0,-1,0)),0)</f>
        <v>1</v>
      </c>
      <c r="BS2" s="10" t="n">
        <f aca="false">IF(ISNUMBER(AP2),IF(AND(AP2&gt;0,AP2&lt;=Parameters!$B$35),1,IF(AP2&gt;Parameters!$B$36,-1,0)),0)</f>
        <v>1</v>
      </c>
      <c r="BT2" s="10" t="n">
        <f aca="false">IF(ISNUMBER(AY2),IF(AY2&gt;Parameters!$B$37,1,IF(AY2&lt;0,-1,0)),0)</f>
        <v>1</v>
      </c>
      <c r="BU2" s="10" t="n">
        <f aca="false">IF(ISNUMBER(AZ2),IF(AZ2&gt;0,1,0),0)</f>
        <v>1</v>
      </c>
      <c r="BV2" s="10" t="n">
        <f aca="false">IF(ISNUMBER(AL2),IF(AL2&gt;Parameters!$B$39,2,IF(AL2&gt;Parameters!$B$40,1,IF(AL2&lt;0,-2,IF(AL2&lt;Parameters!$B$41,-1,0)))),0)</f>
        <v>2</v>
      </c>
      <c r="BW2" s="10" t="n">
        <f aca="false">IF(ISNUMBER(AV2),IF(AV2&gt;Parameters!$B$42,1,IF(AV2&lt;Parameters!$B$43,-1,0)),0)</f>
        <v>1</v>
      </c>
      <c r="BX2" s="10" t="n">
        <f aca="false">IF(AND(ISNUMBER(AX2),AX2&gt;0),1,IF(AND(ISNUMBER(AY2),AY2&lt;Parameters!$B$44),-1,0))</f>
        <v>1</v>
      </c>
      <c r="BY2" s="10" t="n">
        <f aca="false">IF(ISNUMBER(AW2),IF(AW2&gt;0,1,0),0)</f>
        <v>1</v>
      </c>
      <c r="BZ2" s="10" t="n">
        <f aca="false">IF(ISNUMBER(AQ2),IF(AQ2&gt;Parameters!$B$46,-2,IF(AQ2&gt;Parameters!$B$45,-1,0)),0)</f>
        <v>0</v>
      </c>
      <c r="CA2" s="10" t="n">
        <f aca="false">IF(ISNUMBER(F2),IF(F2&gt;=Parameters!$B$47,1,IF(F2&lt;=Parameters!$B$48,-1,0)),0)</f>
        <v>1</v>
      </c>
      <c r="CB2" s="17" t="n">
        <f aca="false">IF(BF2="Established",BP2+BQ2+BR2+BS2+BT2+BU2,IF(BF2="Early",BV2+BW2+BX2+BY2+BZ2+CA2,0))</f>
        <v>7</v>
      </c>
      <c r="CC2" s="18" t="n">
        <f aca="false">IF(BF2="Established",BO2+CB2,IF(BF2="Early",BO2+Parameters!$B$50*CB2,BO2))</f>
        <v>9</v>
      </c>
      <c r="CD2" s="17" t="n">
        <f aca="false">IF(BF2="Established",IF(CC2&gt;=Parameters!$B$51,6,IF(CC2&gt;=Parameters!$B$52,5,IF(CC2&gt;=Parameters!$B$53,4,IF(CC2&gt;=Parameters!$B$54,3,IF(CC2&gt;=Parameters!$B$55,2,1))))),IF(BF2="Early",IF(CC2&gt;=Parameters!$B$56,5,IF(CC2&gt;=Parameters!$B$57,4,IF(CC2&gt;=Parameters!$B$58,3,IF(CC2&gt;=Parameters!$B$59,2,1)))),IF(CC2&gt;=Parameters!$B$60,6,IF(CC2&gt;=Parameters!$B$61,5,IF(CC2&gt;=Parameters!$B$62,4,IF(CC2&gt;=Parameters!$B$63,3,IF(CC2&gt;=Parameters!$B$64,2,1)))))))</f>
        <v>5</v>
      </c>
      <c r="CE2" s="10" t="n">
        <f aca="false">IF(AND(ISNUMBER(AR2),AR2&lt;Parameters!$B$66),1,0)</f>
        <v>1</v>
      </c>
      <c r="CF2" s="10" t="n">
        <f aca="false">IF(AND(LEFT(AH2,5)="Death",ISNUMBER(AG2)),IF(BF2="Early",IF(AND(AG2&lt;Parameters!$B$70,ISNUMBER(U2),U2&lt;Parameters!$B$71),1,0),IF(AND(AG2&lt;Parameters!$B$67,OR(AND(ISNUMBER(U2),U2&lt;Parameters!$B$68),AND(ISNUMBER(V2),V2&lt;Parameters!$B$69))),1,0)),0)</f>
        <v>0</v>
      </c>
      <c r="CG2" s="10" t="n">
        <f aca="false">IF(AND(ISNUMBER(AG2),AG2&lt;0),1,0)</f>
        <v>0</v>
      </c>
      <c r="CH2" s="10" t="n">
        <f aca="false">IF(OR(AND(ISNUMBER(U2),U2&gt;Parameters!$B$74),AND(ISNUMBER(AF2),AF2&gt;Parameters!$B$75),AND(ISNUMBER(AE2),AE2&gt;Parameters!$B$76)),1,0)</f>
        <v>1</v>
      </c>
      <c r="CI2" s="10" t="n">
        <f aca="false">IF(AND(ISNUMBER(BC2),BC2&gt;=0,BC2&lt;=Parameters!$B$77),1,0)</f>
        <v>0</v>
      </c>
      <c r="CJ2" s="17" t="n">
        <f aca="false">IF(CF2=1,1,MIN(CD2,IF(CE2=1,3,6),IF(CG2=1,IF(BF2="Early",Parameters!$B$73,Parameters!$B$72),6),IF(CH2=1,3,6),IF(CI2=1,3,6)))</f>
        <v>3</v>
      </c>
      <c r="CK2" s="10" t="str">
        <f aca="false">INDEX(Parameters!$F$2:$F$7,CJ2)</f>
        <v>Hold</v>
      </c>
      <c r="CL2" s="10" t="str">
        <f aca="false">IF(CF2=1,"Hard sell: breakdown; ","")&amp;IF(CE2=1,"Insufficient history; ","")&amp;IF(AND(CF2=0,CG2=1),"Below 200D; ","")&amp;IF(CH2=1,"Extended - wait for pullback; ","")&amp;IF(CI2=1,"Earnings within "&amp;Parameters!$B$77&amp;"d; ","")</f>
        <v>Insufficient history; Extended - wait for pullback; </v>
      </c>
    </row>
    <row r="3" customFormat="false" ht="15" hidden="false" customHeight="false" outlineLevel="0" collapsed="false">
      <c r="A3" s="10" t="s">
        <v>298</v>
      </c>
      <c r="B3" s="10" t="n">
        <v>8</v>
      </c>
      <c r="C3" s="10" t="n">
        <v>7</v>
      </c>
      <c r="D3" s="10" t="n">
        <v>67.2</v>
      </c>
      <c r="E3" s="10" t="n">
        <v>3.7</v>
      </c>
      <c r="F3" s="10" t="n">
        <v>10</v>
      </c>
      <c r="G3" s="10" t="s">
        <v>299</v>
      </c>
      <c r="H3" s="10" t="s">
        <v>300</v>
      </c>
      <c r="I3" s="10" t="n">
        <v>979.59</v>
      </c>
      <c r="J3" s="10" t="s">
        <v>295</v>
      </c>
      <c r="K3" s="10" t="s">
        <v>296</v>
      </c>
      <c r="L3" s="15" t="n">
        <v>1160756421391</v>
      </c>
      <c r="M3" s="16" t="n">
        <v>46197</v>
      </c>
      <c r="N3" s="10" t="n">
        <v>21.36</v>
      </c>
      <c r="O3" s="16" t="n">
        <v>46288</v>
      </c>
      <c r="P3" s="10" t="s">
        <v>297</v>
      </c>
      <c r="Q3" s="10" t="n">
        <v>-4.69</v>
      </c>
      <c r="R3" s="10" t="n">
        <v>2.75</v>
      </c>
      <c r="S3" s="10" t="n">
        <v>2.46</v>
      </c>
      <c r="T3" s="10" t="n">
        <v>4.39</v>
      </c>
      <c r="U3" s="10" t="n">
        <v>12.79</v>
      </c>
      <c r="V3" s="10" t="n">
        <v>9.83</v>
      </c>
      <c r="W3" s="10" t="n">
        <v>133.97</v>
      </c>
      <c r="X3" s="10" t="n">
        <v>624.33</v>
      </c>
      <c r="Y3" s="10"/>
      <c r="Z3" s="10"/>
      <c r="AA3" s="10"/>
      <c r="AB3" s="10"/>
      <c r="AC3" s="10" t="n">
        <v>5.19</v>
      </c>
      <c r="AD3" s="10" t="n">
        <v>-21.95</v>
      </c>
      <c r="AE3" s="10" t="n">
        <v>53.57</v>
      </c>
      <c r="AF3" s="10" t="n">
        <v>5.36</v>
      </c>
      <c r="AG3" s="10" t="n">
        <v>58.45</v>
      </c>
      <c r="AH3" s="10" t="s">
        <v>301</v>
      </c>
      <c r="AI3" s="10" t="n">
        <v>6.23</v>
      </c>
      <c r="AJ3" s="10" t="n">
        <v>-13.69</v>
      </c>
      <c r="AK3" s="10" t="n">
        <v>1398.3</v>
      </c>
      <c r="AL3" s="10" t="n">
        <v>345.7</v>
      </c>
      <c r="AM3" s="10" t="n">
        <v>55.91</v>
      </c>
      <c r="AN3" s="10" t="n">
        <v>66.64</v>
      </c>
      <c r="AO3" s="10" t="n">
        <v>6.62</v>
      </c>
      <c r="AP3" s="10" t="n">
        <v>0.02</v>
      </c>
      <c r="AQ3" s="10" t="n">
        <v>2.67</v>
      </c>
      <c r="AR3" s="10" t="n">
        <v>300</v>
      </c>
      <c r="AS3" s="16" t="n">
        <v>46275</v>
      </c>
      <c r="AT3" s="15" t="n">
        <v>90273996800</v>
      </c>
      <c r="AU3" s="15" t="n">
        <v>65510998016</v>
      </c>
      <c r="AV3" s="10" t="n">
        <v>72.57</v>
      </c>
      <c r="AW3" s="15" t="n">
        <v>50468999168</v>
      </c>
      <c r="AX3" s="15" t="n">
        <v>7639499776</v>
      </c>
      <c r="AY3" s="10" t="n">
        <v>8.46</v>
      </c>
      <c r="AZ3" s="15" t="n">
        <v>19646000640</v>
      </c>
      <c r="BA3" s="10" t="n">
        <v>608.1</v>
      </c>
      <c r="BB3" s="10" t="n">
        <v>75.34</v>
      </c>
      <c r="BC3" s="17" t="n">
        <f aca="false">IF(AND(ISNUMBER(O3),ISNUMBER(AS3)),O3-AS3,"")</f>
        <v>13</v>
      </c>
      <c r="BD3" s="10" t="n">
        <f aca="false">IF(OR(ISNUMBER(SEARCH("ETF",H3)),AND(F3="",AO3="")),1,0)</f>
        <v>0</v>
      </c>
      <c r="BE3" s="17" t="n">
        <f aca="false">IF(ISNUMBER(L3),IF(L3&gt;=Parameters!$B$3,2,IF(L3&gt;=Parameters!$B$4,1,0)),0)+IF(ISNUMBER(AW3),IF(AW3&gt;0,IF(AND(ISNUMBER(AM3),AM3&gt;=Parameters!$B$5),2,1),0),0)+IF(ISNUMBER(AX3),IF(AND(AX3&gt;0,ISNUMBER(AY3),AY3&gt;=Parameters!$B$6),1,0),0)+IF(ISNUMBER(AO3),IF(AND(AO3&gt;0,AO3&lt;=Parameters!$B$7),1,0),0)+IF(ISNUMBER(F3),IF(F3&gt;=Parameters!$B$8,1,0),0)</f>
        <v>7</v>
      </c>
      <c r="BF3" s="10" t="str">
        <f aca="false">IF(BD3=1,"ETF",IF(OR(AND(ISNUMBER(L3),L3&gt;=Parameters!$B$10),BE3&gt;=Parameters!$B$9),"Established","Early"))</f>
        <v>Established</v>
      </c>
      <c r="BG3" s="10" t="n">
        <f aca="false">IF(LEFT(AH3,6)="Golden",2,IF(LEFT(AH3,5)="Death",-2,0))</f>
        <v>2</v>
      </c>
      <c r="BH3" s="10" t="n">
        <f aca="false">IF(ISNUMBER(AG3),IF(AG3&gt;Parameters!$B$12,2,IF(AG3&gt;0,1,IF(AG3&gt;=Parameters!$B$13,-1,-2))),0)</f>
        <v>2</v>
      </c>
      <c r="BI3" s="10" t="n">
        <f aca="false">IF(ISNUMBER(AF3),IF(AND(AF3&gt;=Parameters!$B$14,AF3&lt;=Parameters!$B$15),1,IF(OR(AF3&gt;Parameters!$B$16,AF3&lt;Parameters!$B$17),-1,0)),0)</f>
        <v>1</v>
      </c>
      <c r="BJ3" s="10" t="n">
        <f aca="false">IF(ISNUMBER(AE3),IF(AND(AE3&gt;=Parameters!$B$18,AE3&lt;=Parameters!$B$19),1,IF(OR(AE3&gt;Parameters!$B$20,AE3&lt;Parameters!$B$21),-1,0)),0)</f>
        <v>1</v>
      </c>
      <c r="BK3" s="10" t="n">
        <f aca="false">IF(ISNUMBER(E3),IF(E3&gt;Parameters!$B$22,1,IF(E3&lt;Parameters!$B$23,-1,0)),0)</f>
        <v>1</v>
      </c>
      <c r="BL3" s="10" t="n">
        <f aca="false">IF(ISNUMBER(C3),IF(C3&gt;=Parameters!$B$24,1,IF(C3&lt;=Parameters!$B$25,-1,0)),0)</f>
        <v>1</v>
      </c>
      <c r="BM3" s="10" t="n">
        <f aca="false">IF(ISNUMBER(AJ3),IF(AND(AJ3&gt;Parameters!$B$26,ISNUMBER(U3)),IF(U3&lt;0,-1,1),0),0)</f>
        <v>0</v>
      </c>
      <c r="BN3" s="10" t="n">
        <f aca="false">IF(ISNUMBER(AD3),IF(AD3&gt;Parameters!$B$27,1,IF(AD3&lt;Parameters!$B$28,-1,0)),0)</f>
        <v>0</v>
      </c>
      <c r="BO3" s="17" t="n">
        <f aca="false">BG3+BH3+BI3+BJ3+BK3+BL3+BM3+BN3</f>
        <v>8</v>
      </c>
      <c r="BP3" s="10" t="n">
        <f aca="false">IF(ISNUMBER(F3),IF(F3&gt;=Parameters!$B$30,2,IF(F3&gt;=Parameters!$B$31,1,IF(F3&lt;=Parameters!$B$32,-1,0))),0)</f>
        <v>2</v>
      </c>
      <c r="BQ3" s="10" t="n">
        <f aca="false">IF(ISNUMBER(AK3),IF(AK3&gt;Parameters!$B$33,1,IF(AK3&lt;0,-1,0)),0)</f>
        <v>1</v>
      </c>
      <c r="BR3" s="10" t="n">
        <f aca="false">IF(ISNUMBER(AL3),IF(AL3&gt;Parameters!$B$34,1,IF(AL3&lt;0,-1,0)),0)</f>
        <v>1</v>
      </c>
      <c r="BS3" s="10" t="n">
        <f aca="false">IF(ISNUMBER(AP3),IF(AND(AP3&gt;0,AP3&lt;=Parameters!$B$35),1,IF(AP3&gt;Parameters!$B$36,-1,0)),0)</f>
        <v>1</v>
      </c>
      <c r="BT3" s="10" t="n">
        <f aca="false">IF(ISNUMBER(AY3),IF(AY3&gt;Parameters!$B$37,1,IF(AY3&lt;0,-1,0)),0)</f>
        <v>0</v>
      </c>
      <c r="BU3" s="10" t="n">
        <f aca="false">IF(ISNUMBER(AZ3),IF(AZ3&gt;0,1,0),0)</f>
        <v>1</v>
      </c>
      <c r="BV3" s="10" t="n">
        <f aca="false">IF(ISNUMBER(AL3),IF(AL3&gt;Parameters!$B$39,2,IF(AL3&gt;Parameters!$B$40,1,IF(AL3&lt;0,-2,IF(AL3&lt;Parameters!$B$41,-1,0)))),0)</f>
        <v>2</v>
      </c>
      <c r="BW3" s="10" t="n">
        <f aca="false">IF(ISNUMBER(AV3),IF(AV3&gt;Parameters!$B$42,1,IF(AV3&lt;Parameters!$B$43,-1,0)),0)</f>
        <v>1</v>
      </c>
      <c r="BX3" s="10" t="n">
        <f aca="false">IF(AND(ISNUMBER(AX3),AX3&gt;0),1,IF(AND(ISNUMBER(AY3),AY3&lt;Parameters!$B$44),-1,0))</f>
        <v>1</v>
      </c>
      <c r="BY3" s="10" t="n">
        <f aca="false">IF(ISNUMBER(AW3),IF(AW3&gt;0,1,0),0)</f>
        <v>1</v>
      </c>
      <c r="BZ3" s="10" t="n">
        <f aca="false">IF(ISNUMBER(AQ3),IF(AQ3&gt;Parameters!$B$46,-2,IF(AQ3&gt;Parameters!$B$45,-1,0)),0)</f>
        <v>0</v>
      </c>
      <c r="CA3" s="10" t="n">
        <f aca="false">IF(ISNUMBER(F3),IF(F3&gt;=Parameters!$B$47,1,IF(F3&lt;=Parameters!$B$48,-1,0)),0)</f>
        <v>1</v>
      </c>
      <c r="CB3" s="17" t="n">
        <f aca="false">IF(BF3="Established",BP3+BQ3+BR3+BS3+BT3+BU3,IF(BF3="Early",BV3+BW3+BX3+BY3+BZ3+CA3,0))</f>
        <v>6</v>
      </c>
      <c r="CC3" s="18" t="n">
        <f aca="false">IF(BF3="Established",BO3+CB3,IF(BF3="Early",BO3+Parameters!$B$50*CB3,BO3))</f>
        <v>14</v>
      </c>
      <c r="CD3" s="17" t="n">
        <f aca="false">IF(BF3="Established",IF(CC3&gt;=Parameters!$B$51,6,IF(CC3&gt;=Parameters!$B$52,5,IF(CC3&gt;=Parameters!$B$53,4,IF(CC3&gt;=Parameters!$B$54,3,IF(CC3&gt;=Parameters!$B$55,2,1))))),IF(BF3="Early",IF(CC3&gt;=Parameters!$B$56,5,IF(CC3&gt;=Parameters!$B$57,4,IF(CC3&gt;=Parameters!$B$58,3,IF(CC3&gt;=Parameters!$B$59,2,1)))),IF(CC3&gt;=Parameters!$B$60,6,IF(CC3&gt;=Parameters!$B$61,5,IF(CC3&gt;=Parameters!$B$62,4,IF(CC3&gt;=Parameters!$B$63,3,IF(CC3&gt;=Parameters!$B$64,2,1)))))))</f>
        <v>6</v>
      </c>
      <c r="CE3" s="10" t="n">
        <f aca="false">IF(AND(ISNUMBER(AR3),AR3&lt;Parameters!$B$66),1,0)</f>
        <v>0</v>
      </c>
      <c r="CF3" s="10" t="n">
        <f aca="false">IF(AND(LEFT(AH3,5)="Death",ISNUMBER(AG3)),IF(BF3="Early",IF(AND(AG3&lt;Parameters!$B$70,ISNUMBER(U3),U3&lt;Parameters!$B$71),1,0),IF(AND(AG3&lt;Parameters!$B$67,OR(AND(ISNUMBER(U3),U3&lt;Parameters!$B$68),AND(ISNUMBER(V3),V3&lt;Parameters!$B$69))),1,0)),0)</f>
        <v>0</v>
      </c>
      <c r="CG3" s="10" t="n">
        <f aca="false">IF(AND(ISNUMBER(AG3),AG3&lt;0),1,0)</f>
        <v>0</v>
      </c>
      <c r="CH3" s="10" t="n">
        <f aca="false">IF(OR(AND(ISNUMBER(U3),U3&gt;Parameters!$B$74),AND(ISNUMBER(AF3),AF3&gt;Parameters!$B$75),AND(ISNUMBER(AE3),AE3&gt;Parameters!$B$76)),1,0)</f>
        <v>0</v>
      </c>
      <c r="CI3" s="10" t="n">
        <f aca="false">IF(AND(ISNUMBER(BC3),BC3&gt;=0,BC3&lt;=Parameters!$B$77),1,0)</f>
        <v>0</v>
      </c>
      <c r="CJ3" s="17" t="n">
        <f aca="false">IF(CF3=1,1,MIN(CD3,IF(CE3=1,3,6),IF(CG3=1,IF(BF3="Early",Parameters!$B$73,Parameters!$B$72),6),IF(CH3=1,3,6),IF(CI3=1,3,6)))</f>
        <v>6</v>
      </c>
      <c r="CK3" s="10" t="str">
        <f aca="false">INDEX(Parameters!$F$2:$F$7,CJ3)</f>
        <v>Strong Buy</v>
      </c>
      <c r="CL3" s="10" t="str">
        <f aca="false">IF(CF3=1,"Hard sell: breakdown; ","")&amp;IF(CE3=1,"Insufficient history; ","")&amp;IF(AND(CF3=0,CG3=1),"Below 200D; ","")&amp;IF(CH3=1,"Extended - wait for pullback; ","")&amp;IF(CI3=1,"Earnings within "&amp;Parameters!$B$77&amp;"d; ","")</f>
        <v/>
      </c>
    </row>
    <row r="4" customFormat="false" ht="15" hidden="false" customHeight="false" outlineLevel="0" collapsed="false">
      <c r="A4" s="10" t="s">
        <v>302</v>
      </c>
      <c r="B4" s="10" t="n">
        <v>8</v>
      </c>
      <c r="C4" s="10" t="n">
        <v>8</v>
      </c>
      <c r="D4" s="10" t="n">
        <v>68.5</v>
      </c>
      <c r="E4" s="10" t="n">
        <v>4.2</v>
      </c>
      <c r="F4" s="10" t="n">
        <v>10</v>
      </c>
      <c r="G4" s="10" t="s">
        <v>303</v>
      </c>
      <c r="H4" s="10" t="s">
        <v>304</v>
      </c>
      <c r="I4" s="10" t="n">
        <v>352.78</v>
      </c>
      <c r="J4" s="10" t="s">
        <v>295</v>
      </c>
      <c r="K4" s="10" t="s">
        <v>305</v>
      </c>
      <c r="L4" s="15" t="n">
        <v>942885198646</v>
      </c>
      <c r="M4" s="16" t="n">
        <v>46226</v>
      </c>
      <c r="N4" s="10" t="n">
        <v>6.02</v>
      </c>
      <c r="O4" s="16" t="n">
        <v>46307</v>
      </c>
      <c r="P4" s="10"/>
      <c r="Q4" s="10" t="n">
        <v>-0.54</v>
      </c>
      <c r="R4" s="10" t="n">
        <v>0.34</v>
      </c>
      <c r="S4" s="10" t="n">
        <v>-0.97</v>
      </c>
      <c r="T4" s="10" t="n">
        <v>-1.04</v>
      </c>
      <c r="U4" s="10" t="n">
        <v>-2.56</v>
      </c>
      <c r="V4" s="10" t="n">
        <v>14.12</v>
      </c>
      <c r="W4" s="10" t="n">
        <v>22.7</v>
      </c>
      <c r="X4" s="10" t="n">
        <v>18.44</v>
      </c>
      <c r="Y4" s="10"/>
      <c r="Z4" s="10"/>
      <c r="AA4" s="10"/>
      <c r="AB4" s="10"/>
      <c r="AC4" s="10" t="n">
        <v>9.48</v>
      </c>
      <c r="AD4" s="10" t="n">
        <v>-3.74</v>
      </c>
      <c r="AE4" s="10" t="n">
        <v>47.2</v>
      </c>
      <c r="AF4" s="10" t="n">
        <v>0.43</v>
      </c>
      <c r="AG4" s="10" t="n">
        <v>10.54</v>
      </c>
      <c r="AH4" s="10" t="s">
        <v>306</v>
      </c>
      <c r="AI4" s="10" t="n">
        <v>-1.01</v>
      </c>
      <c r="AJ4" s="10" t="n">
        <v>-16.54</v>
      </c>
      <c r="AK4" s="10" t="n">
        <v>41.2</v>
      </c>
      <c r="AL4" s="10" t="n">
        <v>30.4</v>
      </c>
      <c r="AM4" s="10" t="n">
        <v>34.15</v>
      </c>
      <c r="AN4" s="10" t="n">
        <v>17.79</v>
      </c>
      <c r="AO4" s="10" t="n">
        <v>14.25</v>
      </c>
      <c r="AP4" s="10" t="n">
        <v>0.33</v>
      </c>
      <c r="AQ4" s="10" t="n">
        <v>0.96</v>
      </c>
      <c r="AR4" s="10" t="n">
        <v>300</v>
      </c>
      <c r="AS4" s="16" t="n">
        <v>46275</v>
      </c>
      <c r="AT4" s="15" t="n">
        <v>186328006656</v>
      </c>
      <c r="AU4" s="15" t="n">
        <v>186328006656</v>
      </c>
      <c r="AV4" s="10" t="n">
        <v>100</v>
      </c>
      <c r="AW4" s="15" t="n">
        <v>63634001920</v>
      </c>
      <c r="AX4" s="15" t="n">
        <v>55681000000</v>
      </c>
      <c r="AY4" s="10" t="n">
        <v>29.88</v>
      </c>
      <c r="AZ4" s="15" t="n">
        <v>183112040448</v>
      </c>
      <c r="BA4" s="10" t="n">
        <v>26.4</v>
      </c>
      <c r="BB4" s="10" t="n">
        <v>84.3</v>
      </c>
      <c r="BC4" s="17" t="n">
        <f aca="false">IF(AND(ISNUMBER(O4),ISNUMBER(AS4)),O4-AS4,"")</f>
        <v>32</v>
      </c>
      <c r="BD4" s="10" t="n">
        <f aca="false">IF(OR(ISNUMBER(SEARCH("ETF",H4)),AND(F4="",AO4="")),1,0)</f>
        <v>0</v>
      </c>
      <c r="BE4" s="17" t="n">
        <f aca="false">IF(ISNUMBER(L4),IF(L4&gt;=Parameters!$B$3,2,IF(L4&gt;=Parameters!$B$4,1,0)),0)+IF(ISNUMBER(AW4),IF(AW4&gt;0,IF(AND(ISNUMBER(AM4),AM4&gt;=Parameters!$B$5),2,1),0),0)+IF(ISNUMBER(AX4),IF(AND(AX4&gt;0,ISNUMBER(AY4),AY4&gt;=Parameters!$B$6),1,0),0)+IF(ISNUMBER(AO4),IF(AND(AO4&gt;0,AO4&lt;=Parameters!$B$7),1,0),0)+IF(ISNUMBER(F4),IF(F4&gt;=Parameters!$B$8,1,0),0)</f>
        <v>7</v>
      </c>
      <c r="BF4" s="10" t="str">
        <f aca="false">IF(BD4=1,"ETF",IF(OR(AND(ISNUMBER(L4),L4&gt;=Parameters!$B$10),BE4&gt;=Parameters!$B$9),"Established","Early"))</f>
        <v>Established</v>
      </c>
      <c r="BG4" s="10" t="n">
        <f aca="false">IF(LEFT(AH4,6)="Golden",2,IF(LEFT(AH4,5)="Death",-2,0))</f>
        <v>2</v>
      </c>
      <c r="BH4" s="10" t="n">
        <f aca="false">IF(ISNUMBER(AG4),IF(AG4&gt;Parameters!$B$12,2,IF(AG4&gt;0,1,IF(AG4&gt;=Parameters!$B$13,-1,-2))),0)</f>
        <v>2</v>
      </c>
      <c r="BI4" s="10" t="n">
        <f aca="false">IF(ISNUMBER(AF4),IF(AND(AF4&gt;=Parameters!$B$14,AF4&lt;=Parameters!$B$15),1,IF(OR(AF4&gt;Parameters!$B$16,AF4&lt;Parameters!$B$17),-1,0)),0)</f>
        <v>1</v>
      </c>
      <c r="BJ4" s="10" t="n">
        <f aca="false">IF(ISNUMBER(AE4),IF(AND(AE4&gt;=Parameters!$B$18,AE4&lt;=Parameters!$B$19),1,IF(OR(AE4&gt;Parameters!$B$20,AE4&lt;Parameters!$B$21),-1,0)),0)</f>
        <v>1</v>
      </c>
      <c r="BK4" s="10" t="n">
        <f aca="false">IF(ISNUMBER(E4),IF(E4&gt;Parameters!$B$22,1,IF(E4&lt;Parameters!$B$23,-1,0)),0)</f>
        <v>1</v>
      </c>
      <c r="BL4" s="10" t="n">
        <f aca="false">IF(ISNUMBER(C4),IF(C4&gt;=Parameters!$B$24,1,IF(C4&lt;=Parameters!$B$25,-1,0)),0)</f>
        <v>1</v>
      </c>
      <c r="BM4" s="10" t="n">
        <f aca="false">IF(ISNUMBER(AJ4),IF(AND(AJ4&gt;Parameters!$B$26,ISNUMBER(U4)),IF(U4&lt;0,-1,1),0),0)</f>
        <v>0</v>
      </c>
      <c r="BN4" s="10" t="n">
        <f aca="false">IF(ISNUMBER(AD4),IF(AD4&gt;Parameters!$B$27,1,IF(AD4&lt;Parameters!$B$28,-1,0)),0)</f>
        <v>1</v>
      </c>
      <c r="BO4" s="17" t="n">
        <f aca="false">BG4+BH4+BI4+BJ4+BK4+BL4+BM4+BN4</f>
        <v>9</v>
      </c>
      <c r="BP4" s="10" t="n">
        <f aca="false">IF(ISNUMBER(F4),IF(F4&gt;=Parameters!$B$30,2,IF(F4&gt;=Parameters!$B$31,1,IF(F4&lt;=Parameters!$B$32,-1,0))),0)</f>
        <v>2</v>
      </c>
      <c r="BQ4" s="10" t="n">
        <f aca="false">IF(ISNUMBER(AK4),IF(AK4&gt;Parameters!$B$33,1,IF(AK4&lt;0,-1,0)),0)</f>
        <v>1</v>
      </c>
      <c r="BR4" s="10" t="n">
        <f aca="false">IF(ISNUMBER(AL4),IF(AL4&gt;Parameters!$B$34,1,IF(AL4&lt;0,-1,0)),0)</f>
        <v>1</v>
      </c>
      <c r="BS4" s="10" t="n">
        <f aca="false">IF(ISNUMBER(AP4),IF(AND(AP4&gt;0,AP4&lt;=Parameters!$B$35),1,IF(AP4&gt;Parameters!$B$36,-1,0)),0)</f>
        <v>1</v>
      </c>
      <c r="BT4" s="10" t="n">
        <f aca="false">IF(ISNUMBER(AY4),IF(AY4&gt;Parameters!$B$37,1,IF(AY4&lt;0,-1,0)),0)</f>
        <v>1</v>
      </c>
      <c r="BU4" s="10" t="n">
        <f aca="false">IF(ISNUMBER(AZ4),IF(AZ4&gt;0,1,0),0)</f>
        <v>1</v>
      </c>
      <c r="BV4" s="10" t="n">
        <f aca="false">IF(ISNUMBER(AL4),IF(AL4&gt;Parameters!$B$39,2,IF(AL4&gt;Parameters!$B$40,1,IF(AL4&lt;0,-2,IF(AL4&lt;Parameters!$B$41,-1,0)))),0)</f>
        <v>2</v>
      </c>
      <c r="BW4" s="10" t="n">
        <f aca="false">IF(ISNUMBER(AV4),IF(AV4&gt;Parameters!$B$42,1,IF(AV4&lt;Parameters!$B$43,-1,0)),0)</f>
        <v>1</v>
      </c>
      <c r="BX4" s="10" t="n">
        <f aca="false">IF(AND(ISNUMBER(AX4),AX4&gt;0),1,IF(AND(ISNUMBER(AY4),AY4&lt;Parameters!$B$44),-1,0))</f>
        <v>1</v>
      </c>
      <c r="BY4" s="10" t="n">
        <f aca="false">IF(ISNUMBER(AW4),IF(AW4&gt;0,1,0),0)</f>
        <v>1</v>
      </c>
      <c r="BZ4" s="10" t="n">
        <f aca="false">IF(ISNUMBER(AQ4),IF(AQ4&gt;Parameters!$B$46,-2,IF(AQ4&gt;Parameters!$B$45,-1,0)),0)</f>
        <v>0</v>
      </c>
      <c r="CA4" s="10" t="n">
        <f aca="false">IF(ISNUMBER(F4),IF(F4&gt;=Parameters!$B$47,1,IF(F4&lt;=Parameters!$B$48,-1,0)),0)</f>
        <v>1</v>
      </c>
      <c r="CB4" s="17" t="n">
        <f aca="false">IF(BF4="Established",BP4+BQ4+BR4+BS4+BT4+BU4,IF(BF4="Early",BV4+BW4+BX4+BY4+BZ4+CA4,0))</f>
        <v>7</v>
      </c>
      <c r="CC4" s="18" t="n">
        <f aca="false">IF(BF4="Established",BO4+CB4,IF(BF4="Early",BO4+Parameters!$B$50*CB4,BO4))</f>
        <v>16</v>
      </c>
      <c r="CD4" s="17" t="n">
        <f aca="false">IF(BF4="Established",IF(CC4&gt;=Parameters!$B$51,6,IF(CC4&gt;=Parameters!$B$52,5,IF(CC4&gt;=Parameters!$B$53,4,IF(CC4&gt;=Parameters!$B$54,3,IF(CC4&gt;=Parameters!$B$55,2,1))))),IF(BF4="Early",IF(CC4&gt;=Parameters!$B$56,5,IF(CC4&gt;=Parameters!$B$57,4,IF(CC4&gt;=Parameters!$B$58,3,IF(CC4&gt;=Parameters!$B$59,2,1)))),IF(CC4&gt;=Parameters!$B$60,6,IF(CC4&gt;=Parameters!$B$61,5,IF(CC4&gt;=Parameters!$B$62,4,IF(CC4&gt;=Parameters!$B$63,3,IF(CC4&gt;=Parameters!$B$64,2,1)))))))</f>
        <v>6</v>
      </c>
      <c r="CE4" s="10" t="n">
        <f aca="false">IF(AND(ISNUMBER(AR4),AR4&lt;Parameters!$B$66),1,0)</f>
        <v>0</v>
      </c>
      <c r="CF4" s="10" t="n">
        <f aca="false">IF(AND(LEFT(AH4,5)="Death",ISNUMBER(AG4)),IF(BF4="Early",IF(AND(AG4&lt;Parameters!$B$70,ISNUMBER(U4),U4&lt;Parameters!$B$71),1,0),IF(AND(AG4&lt;Parameters!$B$67,OR(AND(ISNUMBER(U4),U4&lt;Parameters!$B$68),AND(ISNUMBER(V4),V4&lt;Parameters!$B$69))),1,0)),0)</f>
        <v>0</v>
      </c>
      <c r="CG4" s="10" t="n">
        <f aca="false">IF(AND(ISNUMBER(AG4),AG4&lt;0),1,0)</f>
        <v>0</v>
      </c>
      <c r="CH4" s="10" t="n">
        <f aca="false">IF(OR(AND(ISNUMBER(U4),U4&gt;Parameters!$B$74),AND(ISNUMBER(AF4),AF4&gt;Parameters!$B$75),AND(ISNUMBER(AE4),AE4&gt;Parameters!$B$76)),1,0)</f>
        <v>0</v>
      </c>
      <c r="CI4" s="10" t="n">
        <f aca="false">IF(AND(ISNUMBER(BC4),BC4&gt;=0,BC4&lt;=Parameters!$B$77),1,0)</f>
        <v>0</v>
      </c>
      <c r="CJ4" s="17" t="n">
        <f aca="false">IF(CF4=1,1,MIN(CD4,IF(CE4=1,3,6),IF(CG4=1,IF(BF4="Early",Parameters!$B$73,Parameters!$B$72),6),IF(CH4=1,3,6),IF(CI4=1,3,6)))</f>
        <v>6</v>
      </c>
      <c r="CK4" s="10" t="str">
        <f aca="false">INDEX(Parameters!$F$2:$F$7,CJ4)</f>
        <v>Strong Buy</v>
      </c>
      <c r="CL4" s="10" t="str">
        <f aca="false">IF(CF4=1,"Hard sell: breakdown; ","")&amp;IF(CE4=1,"Insufficient history; ","")&amp;IF(AND(CF4=0,CG4=1),"Below 200D; ","")&amp;IF(CH4=1,"Extended - wait for pullback; ","")&amp;IF(CI4=1,"Earnings within "&amp;Parameters!$B$77&amp;"d; ","")</f>
        <v/>
      </c>
    </row>
    <row r="5" customFormat="false" ht="15" hidden="false" customHeight="false" outlineLevel="0" collapsed="false">
      <c r="A5" s="10" t="s">
        <v>307</v>
      </c>
      <c r="B5" s="10" t="n">
        <v>8</v>
      </c>
      <c r="C5" s="10" t="n">
        <v>8</v>
      </c>
      <c r="D5" s="10" t="n">
        <v>81.6</v>
      </c>
      <c r="E5" s="10" t="n">
        <v>0.5</v>
      </c>
      <c r="F5" s="10" t="n">
        <v>8</v>
      </c>
      <c r="G5" s="10" t="s">
        <v>308</v>
      </c>
      <c r="H5" s="10" t="s">
        <v>309</v>
      </c>
      <c r="I5" s="10" t="n">
        <v>515.23</v>
      </c>
      <c r="J5" s="10" t="s">
        <v>295</v>
      </c>
      <c r="K5" s="10" t="s">
        <v>296</v>
      </c>
      <c r="L5" s="15" t="n">
        <v>345847734587</v>
      </c>
      <c r="M5" s="16" t="n">
        <v>46266</v>
      </c>
      <c r="N5" s="10" t="n">
        <v>43.09</v>
      </c>
      <c r="O5" s="16" t="n">
        <v>46357</v>
      </c>
      <c r="P5" s="10" t="s">
        <v>297</v>
      </c>
      <c r="Q5" s="10" t="n">
        <v>-3.74</v>
      </c>
      <c r="R5" s="10" t="n">
        <v>0.26</v>
      </c>
      <c r="S5" s="10" t="n">
        <v>4.68</v>
      </c>
      <c r="T5" s="10" t="n">
        <v>11.08</v>
      </c>
      <c r="U5" s="10" t="n">
        <v>16.84</v>
      </c>
      <c r="V5" s="10" t="n">
        <v>39.31</v>
      </c>
      <c r="W5" s="10" t="n">
        <v>249.61</v>
      </c>
      <c r="X5" s="10" t="n">
        <v>324.79</v>
      </c>
      <c r="Y5" s="10"/>
      <c r="Z5" s="10"/>
      <c r="AA5" s="10"/>
      <c r="AB5" s="10"/>
      <c r="AC5" s="10" t="n">
        <v>34.67</v>
      </c>
      <c r="AD5" s="10" t="n">
        <v>-8.48</v>
      </c>
      <c r="AE5" s="10" t="n">
        <v>59.76</v>
      </c>
      <c r="AF5" s="10" t="n">
        <v>15.46</v>
      </c>
      <c r="AG5" s="10" t="n">
        <v>98.49</v>
      </c>
      <c r="AH5" s="10" t="s">
        <v>301</v>
      </c>
      <c r="AI5" s="10" t="n">
        <v>6.27</v>
      </c>
      <c r="AJ5" s="10" t="n">
        <v>10.66</v>
      </c>
      <c r="AK5" s="10" t="n">
        <v>255.1</v>
      </c>
      <c r="AL5" s="10" t="n">
        <v>57.7</v>
      </c>
      <c r="AM5" s="10" t="n">
        <v>7.53</v>
      </c>
      <c r="AN5" s="10" t="n">
        <v>-240.32</v>
      </c>
      <c r="AO5" s="10" t="n">
        <v>18.38</v>
      </c>
      <c r="AP5" s="10" t="n">
        <v>0.11</v>
      </c>
      <c r="AQ5" s="10" t="n">
        <v>4.65</v>
      </c>
      <c r="AR5" s="10" t="n">
        <v>300</v>
      </c>
      <c r="AS5" s="16" t="n">
        <v>46275</v>
      </c>
      <c r="AT5" s="15" t="n">
        <v>151197007872</v>
      </c>
      <c r="AU5" s="15" t="n">
        <v>30076999680</v>
      </c>
      <c r="AV5" s="10" t="n">
        <v>19.89</v>
      </c>
      <c r="AW5" s="15" t="n">
        <v>11377999872</v>
      </c>
      <c r="AX5" s="15" t="n">
        <v>173500000</v>
      </c>
      <c r="AY5" s="10" t="n">
        <v>0.11</v>
      </c>
      <c r="AZ5" s="15" t="n">
        <v>-22897000448</v>
      </c>
      <c r="BA5" s="10" t="n">
        <v>367.45</v>
      </c>
      <c r="BB5" s="10" t="n">
        <v>89.45</v>
      </c>
      <c r="BC5" s="17" t="n">
        <f aca="false">IF(AND(ISNUMBER(O5),ISNUMBER(AS5)),O5-AS5,"")</f>
        <v>82</v>
      </c>
      <c r="BD5" s="10" t="n">
        <f aca="false">IF(OR(ISNUMBER(SEARCH("ETF",H5)),AND(F5="",AO5="")),1,0)</f>
        <v>0</v>
      </c>
      <c r="BE5" s="17" t="n">
        <f aca="false">IF(ISNUMBER(L5),IF(L5&gt;=Parameters!$B$3,2,IF(L5&gt;=Parameters!$B$4,1,0)),0)+IF(ISNUMBER(AW5),IF(AW5&gt;0,IF(AND(ISNUMBER(AM5),AM5&gt;=Parameters!$B$5),2,1),0),0)+IF(ISNUMBER(AX5),IF(AND(AX5&gt;0,ISNUMBER(AY5),AY5&gt;=Parameters!$B$6),1,0),0)+IF(ISNUMBER(AO5),IF(AND(AO5&gt;0,AO5&lt;=Parameters!$B$7),1,0),0)+IF(ISNUMBER(F5),IF(F5&gt;=Parameters!$B$8,1,0),0)</f>
        <v>6</v>
      </c>
      <c r="BF5" s="10" t="str">
        <f aca="false">IF(BD5=1,"ETF",IF(OR(AND(ISNUMBER(L5),L5&gt;=Parameters!$B$10),BE5&gt;=Parameters!$B$9),"Established","Early"))</f>
        <v>Established</v>
      </c>
      <c r="BG5" s="10" t="n">
        <f aca="false">IF(LEFT(AH5,6)="Golden",2,IF(LEFT(AH5,5)="Death",-2,0))</f>
        <v>2</v>
      </c>
      <c r="BH5" s="10" t="n">
        <f aca="false">IF(ISNUMBER(AG5),IF(AG5&gt;Parameters!$B$12,2,IF(AG5&gt;0,1,IF(AG5&gt;=Parameters!$B$13,-1,-2))),0)</f>
        <v>2</v>
      </c>
      <c r="BI5" s="10" t="n">
        <f aca="false">IF(ISNUMBER(AF5),IF(AND(AF5&gt;=Parameters!$B$14,AF5&lt;=Parameters!$B$15),1,IF(OR(AF5&gt;Parameters!$B$16,AF5&lt;Parameters!$B$17),-1,0)),0)</f>
        <v>-1</v>
      </c>
      <c r="BJ5" s="10" t="n">
        <f aca="false">IF(ISNUMBER(AE5),IF(AND(AE5&gt;=Parameters!$B$18,AE5&lt;=Parameters!$B$19),1,IF(OR(AE5&gt;Parameters!$B$20,AE5&lt;Parameters!$B$21),-1,0)),0)</f>
        <v>1</v>
      </c>
      <c r="BK5" s="10" t="n">
        <f aca="false">IF(ISNUMBER(E5),IF(E5&gt;Parameters!$B$22,1,IF(E5&lt;Parameters!$B$23,-1,0)),0)</f>
        <v>0</v>
      </c>
      <c r="BL5" s="10" t="n">
        <f aca="false">IF(ISNUMBER(C5),IF(C5&gt;=Parameters!$B$24,1,IF(C5&lt;=Parameters!$B$25,-1,0)),0)</f>
        <v>1</v>
      </c>
      <c r="BM5" s="10" t="n">
        <f aca="false">IF(ISNUMBER(AJ5),IF(AND(AJ5&gt;Parameters!$B$26,ISNUMBER(U5)),IF(U5&lt;0,-1,1),0),0)</f>
        <v>1</v>
      </c>
      <c r="BN5" s="10" t="n">
        <f aca="false">IF(ISNUMBER(AD5),IF(AD5&gt;Parameters!$B$27,1,IF(AD5&lt;Parameters!$B$28,-1,0)),0)</f>
        <v>1</v>
      </c>
      <c r="BO5" s="17" t="n">
        <f aca="false">BG5+BH5+BI5+BJ5+BK5+BL5+BM5+BN5</f>
        <v>7</v>
      </c>
      <c r="BP5" s="10" t="n">
        <f aca="false">IF(ISNUMBER(F5),IF(F5&gt;=Parameters!$B$30,2,IF(F5&gt;=Parameters!$B$31,1,IF(F5&lt;=Parameters!$B$32,-1,0))),0)</f>
        <v>2</v>
      </c>
      <c r="BQ5" s="10" t="n">
        <f aca="false">IF(ISNUMBER(AK5),IF(AK5&gt;Parameters!$B$33,1,IF(AK5&lt;0,-1,0)),0)</f>
        <v>1</v>
      </c>
      <c r="BR5" s="10" t="n">
        <f aca="false">IF(ISNUMBER(AL5),IF(AL5&gt;Parameters!$B$34,1,IF(AL5&lt;0,-1,0)),0)</f>
        <v>1</v>
      </c>
      <c r="BS5" s="10" t="n">
        <f aca="false">IF(ISNUMBER(AP5),IF(AND(AP5&gt;0,AP5&lt;=Parameters!$B$35),1,IF(AP5&gt;Parameters!$B$36,-1,0)),0)</f>
        <v>1</v>
      </c>
      <c r="BT5" s="10" t="n">
        <f aca="false">IF(ISNUMBER(AY5),IF(AY5&gt;Parameters!$B$37,1,IF(AY5&lt;0,-1,0)),0)</f>
        <v>0</v>
      </c>
      <c r="BU5" s="10" t="n">
        <f aca="false">IF(ISNUMBER(AZ5),IF(AZ5&gt;0,1,0),0)</f>
        <v>0</v>
      </c>
      <c r="BV5" s="10" t="n">
        <f aca="false">IF(ISNUMBER(AL5),IF(AL5&gt;Parameters!$B$39,2,IF(AL5&gt;Parameters!$B$40,1,IF(AL5&lt;0,-2,IF(AL5&lt;Parameters!$B$41,-1,0)))),0)</f>
        <v>2</v>
      </c>
      <c r="BW5" s="10" t="n">
        <f aca="false">IF(ISNUMBER(AV5),IF(AV5&gt;Parameters!$B$42,1,IF(AV5&lt;Parameters!$B$43,-1,0)),0)</f>
        <v>-1</v>
      </c>
      <c r="BX5" s="10" t="n">
        <f aca="false">IF(AND(ISNUMBER(AX5),AX5&gt;0),1,IF(AND(ISNUMBER(AY5),AY5&lt;Parameters!$B$44),-1,0))</f>
        <v>1</v>
      </c>
      <c r="BY5" s="10" t="n">
        <f aca="false">IF(ISNUMBER(AW5),IF(AW5&gt;0,1,0),0)</f>
        <v>1</v>
      </c>
      <c r="BZ5" s="10" t="n">
        <f aca="false">IF(ISNUMBER(AQ5),IF(AQ5&gt;Parameters!$B$46,-2,IF(AQ5&gt;Parameters!$B$45,-1,0)),0)</f>
        <v>0</v>
      </c>
      <c r="CA5" s="10" t="n">
        <f aca="false">IF(ISNUMBER(F5),IF(F5&gt;=Parameters!$B$47,1,IF(F5&lt;=Parameters!$B$48,-1,0)),0)</f>
        <v>1</v>
      </c>
      <c r="CB5" s="17" t="n">
        <f aca="false">IF(BF5="Established",BP5+BQ5+BR5+BS5+BT5+BU5,IF(BF5="Early",BV5+BW5+BX5+BY5+BZ5+CA5,0))</f>
        <v>5</v>
      </c>
      <c r="CC5" s="18" t="n">
        <f aca="false">IF(BF5="Established",BO5+CB5,IF(BF5="Early",BO5+Parameters!$B$50*CB5,BO5))</f>
        <v>12</v>
      </c>
      <c r="CD5" s="17" t="n">
        <f aca="false">IF(BF5="Established",IF(CC5&gt;=Parameters!$B$51,6,IF(CC5&gt;=Parameters!$B$52,5,IF(CC5&gt;=Parameters!$B$53,4,IF(CC5&gt;=Parameters!$B$54,3,IF(CC5&gt;=Parameters!$B$55,2,1))))),IF(BF5="Early",IF(CC5&gt;=Parameters!$B$56,5,IF(CC5&gt;=Parameters!$B$57,4,IF(CC5&gt;=Parameters!$B$58,3,IF(CC5&gt;=Parameters!$B$59,2,1)))),IF(CC5&gt;=Parameters!$B$60,6,IF(CC5&gt;=Parameters!$B$61,5,IF(CC5&gt;=Parameters!$B$62,4,IF(CC5&gt;=Parameters!$B$63,3,IF(CC5&gt;=Parameters!$B$64,2,1)))))))</f>
        <v>5</v>
      </c>
      <c r="CE5" s="10" t="n">
        <f aca="false">IF(AND(ISNUMBER(AR5),AR5&lt;Parameters!$B$66),1,0)</f>
        <v>0</v>
      </c>
      <c r="CF5" s="10" t="n">
        <f aca="false">IF(AND(LEFT(AH5,5)="Death",ISNUMBER(AG5)),IF(BF5="Early",IF(AND(AG5&lt;Parameters!$B$70,ISNUMBER(U5),U5&lt;Parameters!$B$71),1,0),IF(AND(AG5&lt;Parameters!$B$67,OR(AND(ISNUMBER(U5),U5&lt;Parameters!$B$68),AND(ISNUMBER(V5),V5&lt;Parameters!$B$69))),1,0)),0)</f>
        <v>0</v>
      </c>
      <c r="CG5" s="10" t="n">
        <f aca="false">IF(AND(ISNUMBER(AG5),AG5&lt;0),1,0)</f>
        <v>0</v>
      </c>
      <c r="CH5" s="10" t="n">
        <f aca="false">IF(OR(AND(ISNUMBER(U5),U5&gt;Parameters!$B$74),AND(ISNUMBER(AF5),AF5&gt;Parameters!$B$75),AND(ISNUMBER(AE5),AE5&gt;Parameters!$B$76)),1,0)</f>
        <v>1</v>
      </c>
      <c r="CI5" s="10" t="n">
        <f aca="false">IF(AND(ISNUMBER(BC5),BC5&gt;=0,BC5&lt;=Parameters!$B$77),1,0)</f>
        <v>0</v>
      </c>
      <c r="CJ5" s="17" t="n">
        <f aca="false">IF(CF5=1,1,MIN(CD5,IF(CE5=1,3,6),IF(CG5=1,IF(BF5="Early",Parameters!$B$73,Parameters!$B$72),6),IF(CH5=1,3,6),IF(CI5=1,3,6)))</f>
        <v>3</v>
      </c>
      <c r="CK5" s="10" t="str">
        <f aca="false">INDEX(Parameters!$F$2:$F$7,CJ5)</f>
        <v>Hold</v>
      </c>
      <c r="CL5" s="10" t="str">
        <f aca="false">IF(CF5=1,"Hard sell: breakdown; ","")&amp;IF(CE5=1,"Insufficient history; ","")&amp;IF(AND(CF5=0,CG5=1),"Below 200D; ","")&amp;IF(CH5=1,"Extended - wait for pullback; ","")&amp;IF(CI5=1,"Earnings within "&amp;Parameters!$B$77&amp;"d; ","")</f>
        <v>Extended - wait for pullback; </v>
      </c>
    </row>
    <row r="6" customFormat="false" ht="15" hidden="false" customHeight="false" outlineLevel="0" collapsed="false">
      <c r="A6" s="10" t="s">
        <v>310</v>
      </c>
      <c r="B6" s="10" t="n">
        <v>8</v>
      </c>
      <c r="C6" s="10" t="n">
        <v>7</v>
      </c>
      <c r="D6" s="10" t="n">
        <v>66.6</v>
      </c>
      <c r="E6" s="10" t="n">
        <v>3.4</v>
      </c>
      <c r="F6" s="10" t="n">
        <v>10</v>
      </c>
      <c r="G6" s="10" t="s">
        <v>311</v>
      </c>
      <c r="H6" s="10" t="s">
        <v>294</v>
      </c>
      <c r="I6" s="10" t="n">
        <v>854.39</v>
      </c>
      <c r="J6" s="10" t="s">
        <v>295</v>
      </c>
      <c r="K6" s="10" t="s">
        <v>296</v>
      </c>
      <c r="L6" s="15" t="n">
        <v>200788906853</v>
      </c>
      <c r="M6" s="16" t="n">
        <v>46231</v>
      </c>
      <c r="N6" s="10" t="n">
        <v>2.3</v>
      </c>
      <c r="O6" s="16" t="n">
        <v>46322</v>
      </c>
      <c r="P6" s="10" t="s">
        <v>297</v>
      </c>
      <c r="Q6" s="10" t="n">
        <v>-3.56</v>
      </c>
      <c r="R6" s="10" t="n">
        <v>-2.04</v>
      </c>
      <c r="S6" s="10" t="n">
        <v>5.67</v>
      </c>
      <c r="T6" s="10" t="n">
        <v>0.95</v>
      </c>
      <c r="U6" s="10" t="n">
        <v>4.13</v>
      </c>
      <c r="V6" s="10" t="n">
        <v>4.71</v>
      </c>
      <c r="W6" s="10" t="n">
        <v>121.36</v>
      </c>
      <c r="X6" s="10" t="n">
        <v>345.95</v>
      </c>
      <c r="Y6" s="10"/>
      <c r="Z6" s="10"/>
      <c r="AA6" s="10"/>
      <c r="AB6" s="10"/>
      <c r="AC6" s="10" t="n">
        <v>0.06</v>
      </c>
      <c r="AD6" s="10" t="n">
        <v>-25.38</v>
      </c>
      <c r="AE6" s="10" t="n">
        <v>50.35</v>
      </c>
      <c r="AF6" s="10" t="n">
        <v>0.55</v>
      </c>
      <c r="AG6" s="10" t="n">
        <v>41.72</v>
      </c>
      <c r="AH6" s="10" t="s">
        <v>301</v>
      </c>
      <c r="AI6" s="10" t="n">
        <v>4.37</v>
      </c>
      <c r="AJ6" s="10" t="n">
        <v>-17.35</v>
      </c>
      <c r="AK6" s="10" t="n">
        <v>165.2</v>
      </c>
      <c r="AL6" s="10" t="n">
        <v>48.5</v>
      </c>
      <c r="AM6" s="10" t="n">
        <v>26.11</v>
      </c>
      <c r="AN6" s="10" t="n">
        <v>371.53</v>
      </c>
      <c r="AO6" s="10" t="n">
        <v>16.04</v>
      </c>
      <c r="AP6" s="10" t="n">
        <v>0.43</v>
      </c>
      <c r="AQ6" s="10" t="n">
        <v>3.61</v>
      </c>
      <c r="AR6" s="10" t="n">
        <v>300</v>
      </c>
      <c r="AS6" s="16" t="n">
        <v>46275</v>
      </c>
      <c r="AT6" s="15" t="n">
        <v>12195000320</v>
      </c>
      <c r="AU6" s="15" t="n">
        <v>5558000128</v>
      </c>
      <c r="AV6" s="10" t="n">
        <v>45.58</v>
      </c>
      <c r="AW6" s="15" t="n">
        <v>3184000000</v>
      </c>
      <c r="AX6" s="15" t="n">
        <v>1943750016</v>
      </c>
      <c r="AY6" s="10" t="n">
        <v>15.94</v>
      </c>
      <c r="AZ6" s="15" t="n">
        <v>-2193999872</v>
      </c>
      <c r="BA6" s="10" t="n">
        <v>349.92</v>
      </c>
      <c r="BB6" s="10" t="n">
        <v>69.57</v>
      </c>
      <c r="BC6" s="17" t="n">
        <f aca="false">IF(AND(ISNUMBER(O6),ISNUMBER(AS6)),O6-AS6,"")</f>
        <v>47</v>
      </c>
      <c r="BD6" s="10" t="n">
        <f aca="false">IF(OR(ISNUMBER(SEARCH("ETF",H6)),AND(F6="",AO6="")),1,0)</f>
        <v>0</v>
      </c>
      <c r="BE6" s="17" t="n">
        <f aca="false">IF(ISNUMBER(L6),IF(L6&gt;=Parameters!$B$3,2,IF(L6&gt;=Parameters!$B$4,1,0)),0)+IF(ISNUMBER(AW6),IF(AW6&gt;0,IF(AND(ISNUMBER(AM6),AM6&gt;=Parameters!$B$5),2,1),0),0)+IF(ISNUMBER(AX6),IF(AND(AX6&gt;0,ISNUMBER(AY6),AY6&gt;=Parameters!$B$6),1,0),0)+IF(ISNUMBER(AO6),IF(AND(AO6&gt;0,AO6&lt;=Parameters!$B$7),1,0),0)+IF(ISNUMBER(F6),IF(F6&gt;=Parameters!$B$8,1,0),0)</f>
        <v>7</v>
      </c>
      <c r="BF6" s="10" t="str">
        <f aca="false">IF(BD6=1,"ETF",IF(OR(AND(ISNUMBER(L6),L6&gt;=Parameters!$B$10),BE6&gt;=Parameters!$B$9),"Established","Early"))</f>
        <v>Established</v>
      </c>
      <c r="BG6" s="10" t="n">
        <f aca="false">IF(LEFT(AH6,6)="Golden",2,IF(LEFT(AH6,5)="Death",-2,0))</f>
        <v>2</v>
      </c>
      <c r="BH6" s="10" t="n">
        <f aca="false">IF(ISNUMBER(AG6),IF(AG6&gt;Parameters!$B$12,2,IF(AG6&gt;0,1,IF(AG6&gt;=Parameters!$B$13,-1,-2))),0)</f>
        <v>2</v>
      </c>
      <c r="BI6" s="10" t="n">
        <f aca="false">IF(ISNUMBER(AF6),IF(AND(AF6&gt;=Parameters!$B$14,AF6&lt;=Parameters!$B$15),1,IF(OR(AF6&gt;Parameters!$B$16,AF6&lt;Parameters!$B$17),-1,0)),0)</f>
        <v>1</v>
      </c>
      <c r="BJ6" s="10" t="n">
        <f aca="false">IF(ISNUMBER(AE6),IF(AND(AE6&gt;=Parameters!$B$18,AE6&lt;=Parameters!$B$19),1,IF(OR(AE6&gt;Parameters!$B$20,AE6&lt;Parameters!$B$21),-1,0)),0)</f>
        <v>1</v>
      </c>
      <c r="BK6" s="10" t="n">
        <f aca="false">IF(ISNUMBER(E6),IF(E6&gt;Parameters!$B$22,1,IF(E6&lt;Parameters!$B$23,-1,0)),0)</f>
        <v>1</v>
      </c>
      <c r="BL6" s="10" t="n">
        <f aca="false">IF(ISNUMBER(C6),IF(C6&gt;=Parameters!$B$24,1,IF(C6&lt;=Parameters!$B$25,-1,0)),0)</f>
        <v>1</v>
      </c>
      <c r="BM6" s="10" t="n">
        <f aca="false">IF(ISNUMBER(AJ6),IF(AND(AJ6&gt;Parameters!$B$26,ISNUMBER(U6)),IF(U6&lt;0,-1,1),0),0)</f>
        <v>0</v>
      </c>
      <c r="BN6" s="10" t="n">
        <f aca="false">IF(ISNUMBER(AD6),IF(AD6&gt;Parameters!$B$27,1,IF(AD6&lt;Parameters!$B$28,-1,0)),0)</f>
        <v>0</v>
      </c>
      <c r="BO6" s="17" t="n">
        <f aca="false">BG6+BH6+BI6+BJ6+BK6+BL6+BM6+BN6</f>
        <v>8</v>
      </c>
      <c r="BP6" s="10" t="n">
        <f aca="false">IF(ISNUMBER(F6),IF(F6&gt;=Parameters!$B$30,2,IF(F6&gt;=Parameters!$B$31,1,IF(F6&lt;=Parameters!$B$32,-1,0))),0)</f>
        <v>2</v>
      </c>
      <c r="BQ6" s="10" t="n">
        <f aca="false">IF(ISNUMBER(AK6),IF(AK6&gt;Parameters!$B$33,1,IF(AK6&lt;0,-1,0)),0)</f>
        <v>1</v>
      </c>
      <c r="BR6" s="10" t="n">
        <f aca="false">IF(ISNUMBER(AL6),IF(AL6&gt;Parameters!$B$34,1,IF(AL6&lt;0,-1,0)),0)</f>
        <v>1</v>
      </c>
      <c r="BS6" s="10" t="n">
        <f aca="false">IF(ISNUMBER(AP6),IF(AND(AP6&gt;0,AP6&lt;=Parameters!$B$35),1,IF(AP6&gt;Parameters!$B$36,-1,0)),0)</f>
        <v>1</v>
      </c>
      <c r="BT6" s="10" t="n">
        <f aca="false">IF(ISNUMBER(AY6),IF(AY6&gt;Parameters!$B$37,1,IF(AY6&lt;0,-1,0)),0)</f>
        <v>1</v>
      </c>
      <c r="BU6" s="10" t="n">
        <f aca="false">IF(ISNUMBER(AZ6),IF(AZ6&gt;0,1,0),0)</f>
        <v>0</v>
      </c>
      <c r="BV6" s="10" t="n">
        <f aca="false">IF(ISNUMBER(AL6),IF(AL6&gt;Parameters!$B$39,2,IF(AL6&gt;Parameters!$B$40,1,IF(AL6&lt;0,-2,IF(AL6&lt;Parameters!$B$41,-1,0)))),0)</f>
        <v>2</v>
      </c>
      <c r="BW6" s="10" t="n">
        <f aca="false">IF(ISNUMBER(AV6),IF(AV6&gt;Parameters!$B$42,1,IF(AV6&lt;Parameters!$B$43,-1,0)),0)</f>
        <v>0</v>
      </c>
      <c r="BX6" s="10" t="n">
        <f aca="false">IF(AND(ISNUMBER(AX6),AX6&gt;0),1,IF(AND(ISNUMBER(AY6),AY6&lt;Parameters!$B$44),-1,0))</f>
        <v>1</v>
      </c>
      <c r="BY6" s="10" t="n">
        <f aca="false">IF(ISNUMBER(AW6),IF(AW6&gt;0,1,0),0)</f>
        <v>1</v>
      </c>
      <c r="BZ6" s="10" t="n">
        <f aca="false">IF(ISNUMBER(AQ6),IF(AQ6&gt;Parameters!$B$46,-2,IF(AQ6&gt;Parameters!$B$45,-1,0)),0)</f>
        <v>0</v>
      </c>
      <c r="CA6" s="10" t="n">
        <f aca="false">IF(ISNUMBER(F6),IF(F6&gt;=Parameters!$B$47,1,IF(F6&lt;=Parameters!$B$48,-1,0)),0)</f>
        <v>1</v>
      </c>
      <c r="CB6" s="17" t="n">
        <f aca="false">IF(BF6="Established",BP6+BQ6+BR6+BS6+BT6+BU6,IF(BF6="Early",BV6+BW6+BX6+BY6+BZ6+CA6,0))</f>
        <v>6</v>
      </c>
      <c r="CC6" s="18" t="n">
        <f aca="false">IF(BF6="Established",BO6+CB6,IF(BF6="Early",BO6+Parameters!$B$50*CB6,BO6))</f>
        <v>14</v>
      </c>
      <c r="CD6" s="17" t="n">
        <f aca="false">IF(BF6="Established",IF(CC6&gt;=Parameters!$B$51,6,IF(CC6&gt;=Parameters!$B$52,5,IF(CC6&gt;=Parameters!$B$53,4,IF(CC6&gt;=Parameters!$B$54,3,IF(CC6&gt;=Parameters!$B$55,2,1))))),IF(BF6="Early",IF(CC6&gt;=Parameters!$B$56,5,IF(CC6&gt;=Parameters!$B$57,4,IF(CC6&gt;=Parameters!$B$58,3,IF(CC6&gt;=Parameters!$B$59,2,1)))),IF(CC6&gt;=Parameters!$B$60,6,IF(CC6&gt;=Parameters!$B$61,5,IF(CC6&gt;=Parameters!$B$62,4,IF(CC6&gt;=Parameters!$B$63,3,IF(CC6&gt;=Parameters!$B$64,2,1)))))))</f>
        <v>6</v>
      </c>
      <c r="CE6" s="10" t="n">
        <f aca="false">IF(AND(ISNUMBER(AR6),AR6&lt;Parameters!$B$66),1,0)</f>
        <v>0</v>
      </c>
      <c r="CF6" s="10" t="n">
        <f aca="false">IF(AND(LEFT(AH6,5)="Death",ISNUMBER(AG6)),IF(BF6="Early",IF(AND(AG6&lt;Parameters!$B$70,ISNUMBER(U6),U6&lt;Parameters!$B$71),1,0),IF(AND(AG6&lt;Parameters!$B$67,OR(AND(ISNUMBER(U6),U6&lt;Parameters!$B$68),AND(ISNUMBER(V6),V6&lt;Parameters!$B$69))),1,0)),0)</f>
        <v>0</v>
      </c>
      <c r="CG6" s="10" t="n">
        <f aca="false">IF(AND(ISNUMBER(AG6),AG6&lt;0),1,0)</f>
        <v>0</v>
      </c>
      <c r="CH6" s="10" t="n">
        <f aca="false">IF(OR(AND(ISNUMBER(U6),U6&gt;Parameters!$B$74),AND(ISNUMBER(AF6),AF6&gt;Parameters!$B$75),AND(ISNUMBER(AE6),AE6&gt;Parameters!$B$76)),1,0)</f>
        <v>0</v>
      </c>
      <c r="CI6" s="10" t="n">
        <f aca="false">IF(AND(ISNUMBER(BC6),BC6&gt;=0,BC6&lt;=Parameters!$B$77),1,0)</f>
        <v>0</v>
      </c>
      <c r="CJ6" s="17" t="n">
        <f aca="false">IF(CF6=1,1,MIN(CD6,IF(CE6=1,3,6),IF(CG6=1,IF(BF6="Early",Parameters!$B$73,Parameters!$B$72),6),IF(CH6=1,3,6),IF(CI6=1,3,6)))</f>
        <v>6</v>
      </c>
      <c r="CK6" s="10" t="str">
        <f aca="false">INDEX(Parameters!$F$2:$F$7,CJ6)</f>
        <v>Strong Buy</v>
      </c>
      <c r="CL6" s="10" t="str">
        <f aca="false">IF(CF6=1,"Hard sell: breakdown; ","")&amp;IF(CE6=1,"Insufficient history; ","")&amp;IF(AND(CF6=0,CG6=1),"Below 200D; ","")&amp;IF(CH6=1,"Extended - wait for pullback; ","")&amp;IF(CI6=1,"Earnings within "&amp;Parameters!$B$77&amp;"d; ","")</f>
        <v/>
      </c>
    </row>
    <row r="7" customFormat="false" ht="15" hidden="false" customHeight="false" outlineLevel="0" collapsed="false">
      <c r="A7" s="10" t="s">
        <v>312</v>
      </c>
      <c r="B7" s="10" t="n">
        <v>8</v>
      </c>
      <c r="C7" s="10" t="n">
        <v>8</v>
      </c>
      <c r="D7" s="10" t="n">
        <v>71</v>
      </c>
      <c r="E7" s="10" t="n">
        <v>5</v>
      </c>
      <c r="F7" s="10" t="n">
        <v>9</v>
      </c>
      <c r="G7" s="10" t="s">
        <v>313</v>
      </c>
      <c r="H7" s="10" t="s">
        <v>314</v>
      </c>
      <c r="I7" s="10" t="n">
        <v>233.16</v>
      </c>
      <c r="J7" s="10" t="s">
        <v>295</v>
      </c>
      <c r="K7" s="10" t="s">
        <v>296</v>
      </c>
      <c r="L7" s="15" t="n">
        <v>34890754231</v>
      </c>
      <c r="M7" s="16" t="n">
        <v>46240</v>
      </c>
      <c r="N7" s="10" t="n">
        <v>11.36</v>
      </c>
      <c r="O7" s="16" t="n">
        <v>46331</v>
      </c>
      <c r="P7" s="10" t="s">
        <v>297</v>
      </c>
      <c r="Q7" s="10" t="n">
        <v>2.63</v>
      </c>
      <c r="R7" s="10" t="n">
        <v>0.58</v>
      </c>
      <c r="S7" s="10" t="n">
        <v>2.83</v>
      </c>
      <c r="T7" s="10" t="n">
        <v>2.06</v>
      </c>
      <c r="U7" s="10" t="n">
        <v>-8.9</v>
      </c>
      <c r="V7" s="10" t="n">
        <v>12.59</v>
      </c>
      <c r="W7" s="10" t="n">
        <v>84.05</v>
      </c>
      <c r="X7" s="10" t="n">
        <v>117.91</v>
      </c>
      <c r="Y7" s="10"/>
      <c r="Z7" s="10"/>
      <c r="AA7" s="10"/>
      <c r="AB7" s="10"/>
      <c r="AC7" s="10" t="n">
        <v>7.95</v>
      </c>
      <c r="AD7" s="10" t="n">
        <v>-9.75</v>
      </c>
      <c r="AE7" s="10" t="n">
        <v>54.36</v>
      </c>
      <c r="AF7" s="10" t="n">
        <v>7.28</v>
      </c>
      <c r="AG7" s="10" t="n">
        <v>41.42</v>
      </c>
      <c r="AH7" s="10" t="s">
        <v>301</v>
      </c>
      <c r="AI7" s="10" t="n">
        <v>-1.23</v>
      </c>
      <c r="AJ7" s="10" t="n">
        <v>-28.2</v>
      </c>
      <c r="AK7" s="10" t="n">
        <v>4659.4</v>
      </c>
      <c r="AL7" s="10" t="n">
        <v>22</v>
      </c>
      <c r="AM7" s="10" t="n">
        <v>20.62</v>
      </c>
      <c r="AN7" s="10" t="n">
        <v>13.5</v>
      </c>
      <c r="AO7" s="10" t="n">
        <v>32.82</v>
      </c>
      <c r="AP7" s="10" t="n">
        <v>0.01</v>
      </c>
      <c r="AQ7" s="10" t="n">
        <v>2.75</v>
      </c>
      <c r="AR7" s="10" t="n">
        <v>300</v>
      </c>
      <c r="AS7" s="16" t="n">
        <v>46275</v>
      </c>
      <c r="AT7" s="15" t="n">
        <v>5572327936</v>
      </c>
      <c r="AU7" s="15" t="n">
        <v>2706002944</v>
      </c>
      <c r="AV7" s="10" t="n">
        <v>48.56</v>
      </c>
      <c r="AW7" s="15" t="n">
        <v>1148742016</v>
      </c>
      <c r="AX7" s="15" t="n">
        <v>954675392</v>
      </c>
      <c r="AY7" s="10" t="n">
        <v>17.13</v>
      </c>
      <c r="AZ7" s="15" t="n">
        <v>1590811008</v>
      </c>
      <c r="BA7" s="10" t="n">
        <v>136.85</v>
      </c>
      <c r="BB7" s="10" t="n">
        <v>84.25</v>
      </c>
      <c r="BC7" s="17" t="n">
        <f aca="false">IF(AND(ISNUMBER(O7),ISNUMBER(AS7)),O7-AS7,"")</f>
        <v>56</v>
      </c>
      <c r="BD7" s="10" t="n">
        <f aca="false">IF(OR(ISNUMBER(SEARCH("ETF",H7)),AND(F7="",AO7="")),1,0)</f>
        <v>0</v>
      </c>
      <c r="BE7" s="17" t="n">
        <f aca="false">IF(ISNUMBER(L7),IF(L7&gt;=Parameters!$B$3,2,IF(L7&gt;=Parameters!$B$4,1,0)),0)+IF(ISNUMBER(AW7),IF(AW7&gt;0,IF(AND(ISNUMBER(AM7),AM7&gt;=Parameters!$B$5),2,1),0),0)+IF(ISNUMBER(AX7),IF(AND(AX7&gt;0,ISNUMBER(AY7),AY7&gt;=Parameters!$B$6),1,0),0)+IF(ISNUMBER(AO7),IF(AND(AO7&gt;0,AO7&lt;=Parameters!$B$7),1,0),0)+IF(ISNUMBER(F7),IF(F7&gt;=Parameters!$B$8,1,0),0)</f>
        <v>6</v>
      </c>
      <c r="BF7" s="10" t="str">
        <f aca="false">IF(BD7=1,"ETF",IF(OR(AND(ISNUMBER(L7),L7&gt;=Parameters!$B$10),BE7&gt;=Parameters!$B$9),"Established","Early"))</f>
        <v>Established</v>
      </c>
      <c r="BG7" s="10" t="n">
        <f aca="false">IF(LEFT(AH7,6)="Golden",2,IF(LEFT(AH7,5)="Death",-2,0))</f>
        <v>2</v>
      </c>
      <c r="BH7" s="10" t="n">
        <f aca="false">IF(ISNUMBER(AG7),IF(AG7&gt;Parameters!$B$12,2,IF(AG7&gt;0,1,IF(AG7&gt;=Parameters!$B$13,-1,-2))),0)</f>
        <v>2</v>
      </c>
      <c r="BI7" s="10" t="n">
        <f aca="false">IF(ISNUMBER(AF7),IF(AND(AF7&gt;=Parameters!$B$14,AF7&lt;=Parameters!$B$15),1,IF(OR(AF7&gt;Parameters!$B$16,AF7&lt;Parameters!$B$17),-1,0)),0)</f>
        <v>1</v>
      </c>
      <c r="BJ7" s="10" t="n">
        <f aca="false">IF(ISNUMBER(AE7),IF(AND(AE7&gt;=Parameters!$B$18,AE7&lt;=Parameters!$B$19),1,IF(OR(AE7&gt;Parameters!$B$20,AE7&lt;Parameters!$B$21),-1,0)),0)</f>
        <v>1</v>
      </c>
      <c r="BK7" s="10" t="n">
        <f aca="false">IF(ISNUMBER(E7),IF(E7&gt;Parameters!$B$22,1,IF(E7&lt;Parameters!$B$23,-1,0)),0)</f>
        <v>1</v>
      </c>
      <c r="BL7" s="10" t="n">
        <f aca="false">IF(ISNUMBER(C7),IF(C7&gt;=Parameters!$B$24,1,IF(C7&lt;=Parameters!$B$25,-1,0)),0)</f>
        <v>1</v>
      </c>
      <c r="BM7" s="10" t="n">
        <f aca="false">IF(ISNUMBER(AJ7),IF(AND(AJ7&gt;Parameters!$B$26,ISNUMBER(U7)),IF(U7&lt;0,-1,1),0),0)</f>
        <v>0</v>
      </c>
      <c r="BN7" s="10" t="n">
        <f aca="false">IF(ISNUMBER(AD7),IF(AD7&gt;Parameters!$B$27,1,IF(AD7&lt;Parameters!$B$28,-1,0)),0)</f>
        <v>1</v>
      </c>
      <c r="BO7" s="17" t="n">
        <f aca="false">BG7+BH7+BI7+BJ7+BK7+BL7+BM7+BN7</f>
        <v>9</v>
      </c>
      <c r="BP7" s="10" t="n">
        <f aca="false">IF(ISNUMBER(F7),IF(F7&gt;=Parameters!$B$30,2,IF(F7&gt;=Parameters!$B$31,1,IF(F7&lt;=Parameters!$B$32,-1,0))),0)</f>
        <v>2</v>
      </c>
      <c r="BQ7" s="10" t="n">
        <f aca="false">IF(ISNUMBER(AK7),IF(AK7&gt;Parameters!$B$33,1,IF(AK7&lt;0,-1,0)),0)</f>
        <v>1</v>
      </c>
      <c r="BR7" s="10" t="n">
        <f aca="false">IF(ISNUMBER(AL7),IF(AL7&gt;Parameters!$B$34,1,IF(AL7&lt;0,-1,0)),0)</f>
        <v>1</v>
      </c>
      <c r="BS7" s="10" t="n">
        <f aca="false">IF(ISNUMBER(AP7),IF(AND(AP7&gt;0,AP7&lt;=Parameters!$B$35),1,IF(AP7&gt;Parameters!$B$36,-1,0)),0)</f>
        <v>1</v>
      </c>
      <c r="BT7" s="10" t="n">
        <f aca="false">IF(ISNUMBER(AY7),IF(AY7&gt;Parameters!$B$37,1,IF(AY7&lt;0,-1,0)),0)</f>
        <v>1</v>
      </c>
      <c r="BU7" s="10" t="n">
        <f aca="false">IF(ISNUMBER(AZ7),IF(AZ7&gt;0,1,0),0)</f>
        <v>1</v>
      </c>
      <c r="BV7" s="10" t="n">
        <f aca="false">IF(ISNUMBER(AL7),IF(AL7&gt;Parameters!$B$39,2,IF(AL7&gt;Parameters!$B$40,1,IF(AL7&lt;0,-2,IF(AL7&lt;Parameters!$B$41,-1,0)))),0)</f>
        <v>1</v>
      </c>
      <c r="BW7" s="10" t="n">
        <f aca="false">IF(ISNUMBER(AV7),IF(AV7&gt;Parameters!$B$42,1,IF(AV7&lt;Parameters!$B$43,-1,0)),0)</f>
        <v>0</v>
      </c>
      <c r="BX7" s="10" t="n">
        <f aca="false">IF(AND(ISNUMBER(AX7),AX7&gt;0),1,IF(AND(ISNUMBER(AY7),AY7&lt;Parameters!$B$44),-1,0))</f>
        <v>1</v>
      </c>
      <c r="BY7" s="10" t="n">
        <f aca="false">IF(ISNUMBER(AW7),IF(AW7&gt;0,1,0),0)</f>
        <v>1</v>
      </c>
      <c r="BZ7" s="10" t="n">
        <f aca="false">IF(ISNUMBER(AQ7),IF(AQ7&gt;Parameters!$B$46,-2,IF(AQ7&gt;Parameters!$B$45,-1,0)),0)</f>
        <v>0</v>
      </c>
      <c r="CA7" s="10" t="n">
        <f aca="false">IF(ISNUMBER(F7),IF(F7&gt;=Parameters!$B$47,1,IF(F7&lt;=Parameters!$B$48,-1,0)),0)</f>
        <v>1</v>
      </c>
      <c r="CB7" s="17" t="n">
        <f aca="false">IF(BF7="Established",BP7+BQ7+BR7+BS7+BT7+BU7,IF(BF7="Early",BV7+BW7+BX7+BY7+BZ7+CA7,0))</f>
        <v>7</v>
      </c>
      <c r="CC7" s="18" t="n">
        <f aca="false">IF(BF7="Established",BO7+CB7,IF(BF7="Early",BO7+Parameters!$B$50*CB7,BO7))</f>
        <v>16</v>
      </c>
      <c r="CD7" s="17" t="n">
        <f aca="false">IF(BF7="Established",IF(CC7&gt;=Parameters!$B$51,6,IF(CC7&gt;=Parameters!$B$52,5,IF(CC7&gt;=Parameters!$B$53,4,IF(CC7&gt;=Parameters!$B$54,3,IF(CC7&gt;=Parameters!$B$55,2,1))))),IF(BF7="Early",IF(CC7&gt;=Parameters!$B$56,5,IF(CC7&gt;=Parameters!$B$57,4,IF(CC7&gt;=Parameters!$B$58,3,IF(CC7&gt;=Parameters!$B$59,2,1)))),IF(CC7&gt;=Parameters!$B$60,6,IF(CC7&gt;=Parameters!$B$61,5,IF(CC7&gt;=Parameters!$B$62,4,IF(CC7&gt;=Parameters!$B$63,3,IF(CC7&gt;=Parameters!$B$64,2,1)))))))</f>
        <v>6</v>
      </c>
      <c r="CE7" s="10" t="n">
        <f aca="false">IF(AND(ISNUMBER(AR7),AR7&lt;Parameters!$B$66),1,0)</f>
        <v>0</v>
      </c>
      <c r="CF7" s="10" t="n">
        <f aca="false">IF(AND(LEFT(AH7,5)="Death",ISNUMBER(AG7)),IF(BF7="Early",IF(AND(AG7&lt;Parameters!$B$70,ISNUMBER(U7),U7&lt;Parameters!$B$71),1,0),IF(AND(AG7&lt;Parameters!$B$67,OR(AND(ISNUMBER(U7),U7&lt;Parameters!$B$68),AND(ISNUMBER(V7),V7&lt;Parameters!$B$69))),1,0)),0)</f>
        <v>0</v>
      </c>
      <c r="CG7" s="10" t="n">
        <f aca="false">IF(AND(ISNUMBER(AG7),AG7&lt;0),1,0)</f>
        <v>0</v>
      </c>
      <c r="CH7" s="10" t="n">
        <f aca="false">IF(OR(AND(ISNUMBER(U7),U7&gt;Parameters!$B$74),AND(ISNUMBER(AF7),AF7&gt;Parameters!$B$75),AND(ISNUMBER(AE7),AE7&gt;Parameters!$B$76)),1,0)</f>
        <v>0</v>
      </c>
      <c r="CI7" s="10" t="n">
        <f aca="false">IF(AND(ISNUMBER(BC7),BC7&gt;=0,BC7&lt;=Parameters!$B$77),1,0)</f>
        <v>0</v>
      </c>
      <c r="CJ7" s="17" t="n">
        <f aca="false">IF(CF7=1,1,MIN(CD7,IF(CE7=1,3,6),IF(CG7=1,IF(BF7="Early",Parameters!$B$73,Parameters!$B$72),6),IF(CH7=1,3,6),IF(CI7=1,3,6)))</f>
        <v>6</v>
      </c>
      <c r="CK7" s="10" t="str">
        <f aca="false">INDEX(Parameters!$F$2:$F$7,CJ7)</f>
        <v>Strong Buy</v>
      </c>
      <c r="CL7" s="10" t="str">
        <f aca="false">IF(CF7=1,"Hard sell: breakdown; ","")&amp;IF(CE7=1,"Insufficient history; ","")&amp;IF(AND(CF7=0,CG7=1),"Below 200D; ","")&amp;IF(CH7=1,"Extended - wait for pullback; ","")&amp;IF(CI7=1,"Earnings within "&amp;Parameters!$B$77&amp;"d; ","")</f>
        <v/>
      </c>
    </row>
    <row r="8" customFormat="false" ht="15" hidden="false" customHeight="false" outlineLevel="0" collapsed="false">
      <c r="A8" s="10" t="s">
        <v>315</v>
      </c>
      <c r="B8" s="10" t="n">
        <v>8</v>
      </c>
      <c r="C8" s="10" t="n">
        <v>7</v>
      </c>
      <c r="D8" s="10" t="n">
        <v>66.2</v>
      </c>
      <c r="E8" s="10" t="n">
        <v>5.7</v>
      </c>
      <c r="F8" s="10" t="n">
        <v>8</v>
      </c>
      <c r="G8" s="10" t="s">
        <v>316</v>
      </c>
      <c r="H8" s="10" t="s">
        <v>317</v>
      </c>
      <c r="I8" s="10" t="n">
        <v>505.95</v>
      </c>
      <c r="J8" s="10" t="s">
        <v>295</v>
      </c>
      <c r="K8" s="10" t="s">
        <v>296</v>
      </c>
      <c r="L8" s="15" t="n">
        <v>850674534669</v>
      </c>
      <c r="M8" s="16" t="n">
        <v>46238</v>
      </c>
      <c r="N8" s="10" t="n">
        <v>3.11</v>
      </c>
      <c r="O8" s="16" t="n">
        <v>46329</v>
      </c>
      <c r="P8" s="10" t="s">
        <v>297</v>
      </c>
      <c r="Q8" s="10" t="n">
        <v>-2.91</v>
      </c>
      <c r="R8" s="10" t="n">
        <v>3.04</v>
      </c>
      <c r="S8" s="10" t="n">
        <v>10.7</v>
      </c>
      <c r="T8" s="10" t="n">
        <v>5.2</v>
      </c>
      <c r="U8" s="10" t="n">
        <v>6.67</v>
      </c>
      <c r="V8" s="10" t="n">
        <v>11.84</v>
      </c>
      <c r="W8" s="10" t="n">
        <v>147.01</v>
      </c>
      <c r="X8" s="10" t="n">
        <v>224.7</v>
      </c>
      <c r="Y8" s="10"/>
      <c r="Z8" s="10"/>
      <c r="AA8" s="10"/>
      <c r="AB8" s="10"/>
      <c r="AC8" s="10" t="n">
        <v>7.2</v>
      </c>
      <c r="AD8" s="10" t="n">
        <v>-13.47</v>
      </c>
      <c r="AE8" s="10" t="n">
        <v>55.75</v>
      </c>
      <c r="AF8" s="10" t="n">
        <v>1.78</v>
      </c>
      <c r="AG8" s="10" t="n">
        <v>46.5</v>
      </c>
      <c r="AH8" s="10" t="s">
        <v>301</v>
      </c>
      <c r="AI8" s="10" t="n">
        <v>5.94</v>
      </c>
      <c r="AJ8" s="10" t="n">
        <v>-1.17</v>
      </c>
      <c r="AK8" s="10" t="n">
        <v>163.4</v>
      </c>
      <c r="AL8" s="10" t="n">
        <v>50.1</v>
      </c>
      <c r="AM8" s="10" t="n">
        <v>15.66</v>
      </c>
      <c r="AN8" s="10" t="n">
        <v>10.2</v>
      </c>
      <c r="AO8" s="10" t="n">
        <v>33.43</v>
      </c>
      <c r="AP8" s="10" t="n">
        <v>0.83</v>
      </c>
      <c r="AQ8" s="10" t="n">
        <v>2.47</v>
      </c>
      <c r="AR8" s="10" t="n">
        <v>300</v>
      </c>
      <c r="AS8" s="16" t="n">
        <v>46275</v>
      </c>
      <c r="AT8" s="15" t="n">
        <v>41305001984</v>
      </c>
      <c r="AU8" s="15" t="n">
        <v>23017000960</v>
      </c>
      <c r="AV8" s="10" t="n">
        <v>55.72</v>
      </c>
      <c r="AW8" s="15" t="n">
        <v>6469000192</v>
      </c>
      <c r="AX8" s="15" t="n">
        <v>8841499648</v>
      </c>
      <c r="AY8" s="10" t="n">
        <v>21.41</v>
      </c>
      <c r="AZ8" s="15" t="n">
        <v>8835000064</v>
      </c>
      <c r="BA8" s="10" t="n">
        <v>237.64</v>
      </c>
      <c r="BB8" s="10" t="n">
        <v>81.88</v>
      </c>
      <c r="BC8" s="17" t="n">
        <f aca="false">IF(AND(ISNUMBER(O8),ISNUMBER(AS8)),O8-AS8,"")</f>
        <v>54</v>
      </c>
      <c r="BD8" s="10" t="n">
        <f aca="false">IF(OR(ISNUMBER(SEARCH("ETF",H8)),AND(F8="",AO8="")),1,0)</f>
        <v>0</v>
      </c>
      <c r="BE8" s="17" t="n">
        <f aca="false">IF(ISNUMBER(L8),IF(L8&gt;=Parameters!$B$3,2,IF(L8&gt;=Parameters!$B$4,1,0)),0)+IF(ISNUMBER(AW8),IF(AW8&gt;0,IF(AND(ISNUMBER(AM8),AM8&gt;=Parameters!$B$5),2,1),0),0)+IF(ISNUMBER(AX8),IF(AND(AX8&gt;0,ISNUMBER(AY8),AY8&gt;=Parameters!$B$6),1,0),0)+IF(ISNUMBER(AO8),IF(AND(AO8&gt;0,AO8&lt;=Parameters!$B$7),1,0),0)+IF(ISNUMBER(F8),IF(F8&gt;=Parameters!$B$8,1,0),0)</f>
        <v>7</v>
      </c>
      <c r="BF8" s="10" t="str">
        <f aca="false">IF(BD8=1,"ETF",IF(OR(AND(ISNUMBER(L8),L8&gt;=Parameters!$B$10),BE8&gt;=Parameters!$B$9),"Established","Early"))</f>
        <v>Established</v>
      </c>
      <c r="BG8" s="10" t="n">
        <f aca="false">IF(LEFT(AH8,6)="Golden",2,IF(LEFT(AH8,5)="Death",-2,0))</f>
        <v>2</v>
      </c>
      <c r="BH8" s="10" t="n">
        <f aca="false">IF(ISNUMBER(AG8),IF(AG8&gt;Parameters!$B$12,2,IF(AG8&gt;0,1,IF(AG8&gt;=Parameters!$B$13,-1,-2))),0)</f>
        <v>2</v>
      </c>
      <c r="BI8" s="10" t="n">
        <f aca="false">IF(ISNUMBER(AF8),IF(AND(AF8&gt;=Parameters!$B$14,AF8&lt;=Parameters!$B$15),1,IF(OR(AF8&gt;Parameters!$B$16,AF8&lt;Parameters!$B$17),-1,0)),0)</f>
        <v>1</v>
      </c>
      <c r="BJ8" s="10" t="n">
        <f aca="false">IF(ISNUMBER(AE8),IF(AND(AE8&gt;=Parameters!$B$18,AE8&lt;=Parameters!$B$19),1,IF(OR(AE8&gt;Parameters!$B$20,AE8&lt;Parameters!$B$21),-1,0)),0)</f>
        <v>1</v>
      </c>
      <c r="BK8" s="10" t="n">
        <f aca="false">IF(ISNUMBER(E8),IF(E8&gt;Parameters!$B$22,1,IF(E8&lt;Parameters!$B$23,-1,0)),0)</f>
        <v>1</v>
      </c>
      <c r="BL8" s="10" t="n">
        <f aca="false">IF(ISNUMBER(C8),IF(C8&gt;=Parameters!$B$24,1,IF(C8&lt;=Parameters!$B$25,-1,0)),0)</f>
        <v>1</v>
      </c>
      <c r="BM8" s="10" t="n">
        <f aca="false">IF(ISNUMBER(AJ8),IF(AND(AJ8&gt;Parameters!$B$26,ISNUMBER(U8)),IF(U8&lt;0,-1,1),0),0)</f>
        <v>0</v>
      </c>
      <c r="BN8" s="10" t="n">
        <f aca="false">IF(ISNUMBER(AD8),IF(AD8&gt;Parameters!$B$27,1,IF(AD8&lt;Parameters!$B$28,-1,0)),0)</f>
        <v>0</v>
      </c>
      <c r="BO8" s="17" t="n">
        <f aca="false">BG8+BH8+BI8+BJ8+BK8+BL8+BM8+BN8</f>
        <v>8</v>
      </c>
      <c r="BP8" s="10" t="n">
        <f aca="false">IF(ISNUMBER(F8),IF(F8&gt;=Parameters!$B$30,2,IF(F8&gt;=Parameters!$B$31,1,IF(F8&lt;=Parameters!$B$32,-1,0))),0)</f>
        <v>2</v>
      </c>
      <c r="BQ8" s="10" t="n">
        <f aca="false">IF(ISNUMBER(AK8),IF(AK8&gt;Parameters!$B$33,1,IF(AK8&lt;0,-1,0)),0)</f>
        <v>1</v>
      </c>
      <c r="BR8" s="10" t="n">
        <f aca="false">IF(ISNUMBER(AL8),IF(AL8&gt;Parameters!$B$34,1,IF(AL8&lt;0,-1,0)),0)</f>
        <v>1</v>
      </c>
      <c r="BS8" s="10" t="n">
        <f aca="false">IF(ISNUMBER(AP8),IF(AND(AP8&gt;0,AP8&lt;=Parameters!$B$35),1,IF(AP8&gt;Parameters!$B$36,-1,0)),0)</f>
        <v>1</v>
      </c>
      <c r="BT8" s="10" t="n">
        <f aca="false">IF(ISNUMBER(AY8),IF(AY8&gt;Parameters!$B$37,1,IF(AY8&lt;0,-1,0)),0)</f>
        <v>1</v>
      </c>
      <c r="BU8" s="10" t="n">
        <f aca="false">IF(ISNUMBER(AZ8),IF(AZ8&gt;0,1,0),0)</f>
        <v>1</v>
      </c>
      <c r="BV8" s="10" t="n">
        <f aca="false">IF(ISNUMBER(AL8),IF(AL8&gt;Parameters!$B$39,2,IF(AL8&gt;Parameters!$B$40,1,IF(AL8&lt;0,-2,IF(AL8&lt;Parameters!$B$41,-1,0)))),0)</f>
        <v>2</v>
      </c>
      <c r="BW8" s="10" t="n">
        <f aca="false">IF(ISNUMBER(AV8),IF(AV8&gt;Parameters!$B$42,1,IF(AV8&lt;Parameters!$B$43,-1,0)),0)</f>
        <v>1</v>
      </c>
      <c r="BX8" s="10" t="n">
        <f aca="false">IF(AND(ISNUMBER(AX8),AX8&gt;0),1,IF(AND(ISNUMBER(AY8),AY8&lt;Parameters!$B$44),-1,0))</f>
        <v>1</v>
      </c>
      <c r="BY8" s="10" t="n">
        <f aca="false">IF(ISNUMBER(AW8),IF(AW8&gt;0,1,0),0)</f>
        <v>1</v>
      </c>
      <c r="BZ8" s="10" t="n">
        <f aca="false">IF(ISNUMBER(AQ8),IF(AQ8&gt;Parameters!$B$46,-2,IF(AQ8&gt;Parameters!$B$45,-1,0)),0)</f>
        <v>0</v>
      </c>
      <c r="CA8" s="10" t="n">
        <f aca="false">IF(ISNUMBER(F8),IF(F8&gt;=Parameters!$B$47,1,IF(F8&lt;=Parameters!$B$48,-1,0)),0)</f>
        <v>1</v>
      </c>
      <c r="CB8" s="17" t="n">
        <f aca="false">IF(BF8="Established",BP8+BQ8+BR8+BS8+BT8+BU8,IF(BF8="Early",BV8+BW8+BX8+BY8+BZ8+CA8,0))</f>
        <v>7</v>
      </c>
      <c r="CC8" s="18" t="n">
        <f aca="false">IF(BF8="Established",BO8+CB8,IF(BF8="Early",BO8+Parameters!$B$50*CB8,BO8))</f>
        <v>15</v>
      </c>
      <c r="CD8" s="17" t="n">
        <f aca="false">IF(BF8="Established",IF(CC8&gt;=Parameters!$B$51,6,IF(CC8&gt;=Parameters!$B$52,5,IF(CC8&gt;=Parameters!$B$53,4,IF(CC8&gt;=Parameters!$B$54,3,IF(CC8&gt;=Parameters!$B$55,2,1))))),IF(BF8="Early",IF(CC8&gt;=Parameters!$B$56,5,IF(CC8&gt;=Parameters!$B$57,4,IF(CC8&gt;=Parameters!$B$58,3,IF(CC8&gt;=Parameters!$B$59,2,1)))),IF(CC8&gt;=Parameters!$B$60,6,IF(CC8&gt;=Parameters!$B$61,5,IF(CC8&gt;=Parameters!$B$62,4,IF(CC8&gt;=Parameters!$B$63,3,IF(CC8&gt;=Parameters!$B$64,2,1)))))))</f>
        <v>6</v>
      </c>
      <c r="CE8" s="10" t="n">
        <f aca="false">IF(AND(ISNUMBER(AR8),AR8&lt;Parameters!$B$66),1,0)</f>
        <v>0</v>
      </c>
      <c r="CF8" s="10" t="n">
        <f aca="false">IF(AND(LEFT(AH8,5)="Death",ISNUMBER(AG8)),IF(BF8="Early",IF(AND(AG8&lt;Parameters!$B$70,ISNUMBER(U8),U8&lt;Parameters!$B$71),1,0),IF(AND(AG8&lt;Parameters!$B$67,OR(AND(ISNUMBER(U8),U8&lt;Parameters!$B$68),AND(ISNUMBER(V8),V8&lt;Parameters!$B$69))),1,0)),0)</f>
        <v>0</v>
      </c>
      <c r="CG8" s="10" t="n">
        <f aca="false">IF(AND(ISNUMBER(AG8),AG8&lt;0),1,0)</f>
        <v>0</v>
      </c>
      <c r="CH8" s="10" t="n">
        <f aca="false">IF(OR(AND(ISNUMBER(U8),U8&gt;Parameters!$B$74),AND(ISNUMBER(AF8),AF8&gt;Parameters!$B$75),AND(ISNUMBER(AE8),AE8&gt;Parameters!$B$76)),1,0)</f>
        <v>0</v>
      </c>
      <c r="CI8" s="10" t="n">
        <f aca="false">IF(AND(ISNUMBER(BC8),BC8&gt;=0,BC8&lt;=Parameters!$B$77),1,0)</f>
        <v>0</v>
      </c>
      <c r="CJ8" s="17" t="n">
        <f aca="false">IF(CF8=1,1,MIN(CD8,IF(CE8=1,3,6),IF(CG8=1,IF(BF8="Early",Parameters!$B$73,Parameters!$B$72),6),IF(CH8=1,3,6),IF(CI8=1,3,6)))</f>
        <v>6</v>
      </c>
      <c r="CK8" s="10" t="str">
        <f aca="false">INDEX(Parameters!$F$2:$F$7,CJ8)</f>
        <v>Strong Buy</v>
      </c>
      <c r="CL8" s="10" t="str">
        <f aca="false">IF(CF8=1,"Hard sell: breakdown; ","")&amp;IF(CE8=1,"Insufficient history; ","")&amp;IF(AND(CF8=0,CG8=1),"Below 200D; ","")&amp;IF(CH8=1,"Extended - wait for pullback; ","")&amp;IF(CI8=1,"Earnings within "&amp;Parameters!$B$77&amp;"d; ","")</f>
        <v/>
      </c>
    </row>
    <row r="9" customFormat="false" ht="15" hidden="false" customHeight="false" outlineLevel="0" collapsed="false">
      <c r="A9" s="10" t="s">
        <v>318</v>
      </c>
      <c r="B9" s="10" t="n">
        <v>8</v>
      </c>
      <c r="C9" s="10" t="n">
        <v>7</v>
      </c>
      <c r="D9" s="10" t="n">
        <v>60.4</v>
      </c>
      <c r="E9" s="10" t="n">
        <v>0.7</v>
      </c>
      <c r="F9" s="10" t="n">
        <v>10</v>
      </c>
      <c r="G9" s="10" t="s">
        <v>319</v>
      </c>
      <c r="H9" s="10" t="s">
        <v>294</v>
      </c>
      <c r="I9" s="10" t="n">
        <v>459.51</v>
      </c>
      <c r="J9" s="10" t="s">
        <v>295</v>
      </c>
      <c r="K9" s="10" t="s">
        <v>296</v>
      </c>
      <c r="L9" s="15" t="n">
        <v>173881686472</v>
      </c>
      <c r="M9" s="16" t="n">
        <v>46239</v>
      </c>
      <c r="N9" s="10" t="n">
        <v>7.88</v>
      </c>
      <c r="O9" s="16" t="n">
        <v>46330</v>
      </c>
      <c r="P9" s="10" t="s">
        <v>297</v>
      </c>
      <c r="Q9" s="10" t="n">
        <v>-4.72</v>
      </c>
      <c r="R9" s="10" t="n">
        <v>1.04</v>
      </c>
      <c r="S9" s="10" t="n">
        <v>2.36</v>
      </c>
      <c r="T9" s="10" t="n">
        <v>-2</v>
      </c>
      <c r="U9" s="10" t="n">
        <v>4.93</v>
      </c>
      <c r="V9" s="10" t="n">
        <v>-6.24</v>
      </c>
      <c r="W9" s="10" t="n">
        <v>70.94</v>
      </c>
      <c r="X9" s="10" t="n">
        <v>386.05</v>
      </c>
      <c r="Y9" s="10"/>
      <c r="Z9" s="10"/>
      <c r="AA9" s="10"/>
      <c r="AB9" s="10"/>
      <c r="AC9" s="10" t="n">
        <v>-10.88</v>
      </c>
      <c r="AD9" s="10" t="n">
        <v>-42.55</v>
      </c>
      <c r="AE9" s="10" t="n">
        <v>46.45</v>
      </c>
      <c r="AF9" s="10" t="n">
        <v>-7.7</v>
      </c>
      <c r="AG9" s="10" t="n">
        <v>21.67</v>
      </c>
      <c r="AH9" s="10" t="s">
        <v>301</v>
      </c>
      <c r="AI9" s="10" t="n">
        <v>4.07</v>
      </c>
      <c r="AJ9" s="10" t="n">
        <v>-27.69</v>
      </c>
      <c r="AK9" s="10" t="n">
        <v>1033</v>
      </c>
      <c r="AL9" s="10" t="n">
        <v>43.8</v>
      </c>
      <c r="AM9" s="10" t="n">
        <v>71.88</v>
      </c>
      <c r="AN9" s="10" t="n">
        <v>130.85</v>
      </c>
      <c r="AO9" s="10" t="n">
        <v>14.91</v>
      </c>
      <c r="AP9" s="10" t="n">
        <v>0.02</v>
      </c>
      <c r="AQ9" s="10" t="n">
        <v>5.66</v>
      </c>
      <c r="AR9" s="10" t="n">
        <v>300</v>
      </c>
      <c r="AS9" s="16" t="n">
        <v>46275</v>
      </c>
      <c r="AT9" s="15" t="n">
        <v>12919000064</v>
      </c>
      <c r="AU9" s="15" t="n">
        <v>6311000064</v>
      </c>
      <c r="AV9" s="10" t="n">
        <v>48.85</v>
      </c>
      <c r="AW9" s="15" t="n">
        <v>9285999616</v>
      </c>
      <c r="AX9" s="15" t="n">
        <v>2268750080</v>
      </c>
      <c r="AY9" s="10" t="n">
        <v>17.56</v>
      </c>
      <c r="AZ9" s="15" t="n">
        <v>388000000</v>
      </c>
      <c r="BA9" s="10" t="n">
        <v>389.26</v>
      </c>
      <c r="BB9" s="10" t="n">
        <v>51.79</v>
      </c>
      <c r="BC9" s="17" t="n">
        <f aca="false">IF(AND(ISNUMBER(O9),ISNUMBER(AS9)),O9-AS9,"")</f>
        <v>55</v>
      </c>
      <c r="BD9" s="10" t="n">
        <f aca="false">IF(OR(ISNUMBER(SEARCH("ETF",H9)),AND(F9="",AO9="")),1,0)</f>
        <v>0</v>
      </c>
      <c r="BE9" s="17" t="n">
        <f aca="false">IF(ISNUMBER(L9),IF(L9&gt;=Parameters!$B$3,2,IF(L9&gt;=Parameters!$B$4,1,0)),0)+IF(ISNUMBER(AW9),IF(AW9&gt;0,IF(AND(ISNUMBER(AM9),AM9&gt;=Parameters!$B$5),2,1),0),0)+IF(ISNUMBER(AX9),IF(AND(AX9&gt;0,ISNUMBER(AY9),AY9&gt;=Parameters!$B$6),1,0),0)+IF(ISNUMBER(AO9),IF(AND(AO9&gt;0,AO9&lt;=Parameters!$B$7),1,0),0)+IF(ISNUMBER(F9),IF(F9&gt;=Parameters!$B$8,1,0),0)</f>
        <v>7</v>
      </c>
      <c r="BF9" s="10" t="str">
        <f aca="false">IF(BD9=1,"ETF",IF(OR(AND(ISNUMBER(L9),L9&gt;=Parameters!$B$10),BE9&gt;=Parameters!$B$9),"Established","Early"))</f>
        <v>Established</v>
      </c>
      <c r="BG9" s="10" t="n">
        <f aca="false">IF(LEFT(AH9,6)="Golden",2,IF(LEFT(AH9,5)="Death",-2,0))</f>
        <v>2</v>
      </c>
      <c r="BH9" s="10" t="n">
        <f aca="false">IF(ISNUMBER(AG9),IF(AG9&gt;Parameters!$B$12,2,IF(AG9&gt;0,1,IF(AG9&gt;=Parameters!$B$13,-1,-2))),0)</f>
        <v>2</v>
      </c>
      <c r="BI9" s="10" t="n">
        <f aca="false">IF(ISNUMBER(AF9),IF(AND(AF9&gt;=Parameters!$B$14,AF9&lt;=Parameters!$B$15),1,IF(OR(AF9&gt;Parameters!$B$16,AF9&lt;Parameters!$B$17),-1,0)),0)</f>
        <v>0</v>
      </c>
      <c r="BJ9" s="10" t="n">
        <f aca="false">IF(ISNUMBER(AE9),IF(AND(AE9&gt;=Parameters!$B$18,AE9&lt;=Parameters!$B$19),1,IF(OR(AE9&gt;Parameters!$B$20,AE9&lt;Parameters!$B$21),-1,0)),0)</f>
        <v>1</v>
      </c>
      <c r="BK9" s="10" t="n">
        <f aca="false">IF(ISNUMBER(E9),IF(E9&gt;Parameters!$B$22,1,IF(E9&lt;Parameters!$B$23,-1,0)),0)</f>
        <v>0</v>
      </c>
      <c r="BL9" s="10" t="n">
        <f aca="false">IF(ISNUMBER(C9),IF(C9&gt;=Parameters!$B$24,1,IF(C9&lt;=Parameters!$B$25,-1,0)),0)</f>
        <v>1</v>
      </c>
      <c r="BM9" s="10" t="n">
        <f aca="false">IF(ISNUMBER(AJ9),IF(AND(AJ9&gt;Parameters!$B$26,ISNUMBER(U9)),IF(U9&lt;0,-1,1),0),0)</f>
        <v>0</v>
      </c>
      <c r="BN9" s="10" t="n">
        <f aca="false">IF(ISNUMBER(AD9),IF(AD9&gt;Parameters!$B$27,1,IF(AD9&lt;Parameters!$B$28,-1,0)),0)</f>
        <v>-1</v>
      </c>
      <c r="BO9" s="17" t="n">
        <f aca="false">BG9+BH9+BI9+BJ9+BK9+BL9+BM9+BN9</f>
        <v>5</v>
      </c>
      <c r="BP9" s="10" t="n">
        <f aca="false">IF(ISNUMBER(F9),IF(F9&gt;=Parameters!$B$30,2,IF(F9&gt;=Parameters!$B$31,1,IF(F9&lt;=Parameters!$B$32,-1,0))),0)</f>
        <v>2</v>
      </c>
      <c r="BQ9" s="10" t="n">
        <f aca="false">IF(ISNUMBER(AK9),IF(AK9&gt;Parameters!$B$33,1,IF(AK9&lt;0,-1,0)),0)</f>
        <v>1</v>
      </c>
      <c r="BR9" s="10" t="n">
        <f aca="false">IF(ISNUMBER(AL9),IF(AL9&gt;Parameters!$B$34,1,IF(AL9&lt;0,-1,0)),0)</f>
        <v>1</v>
      </c>
      <c r="BS9" s="10" t="n">
        <f aca="false">IF(ISNUMBER(AP9),IF(AND(AP9&gt;0,AP9&lt;=Parameters!$B$35),1,IF(AP9&gt;Parameters!$B$36,-1,0)),0)</f>
        <v>1</v>
      </c>
      <c r="BT9" s="10" t="n">
        <f aca="false">IF(ISNUMBER(AY9),IF(AY9&gt;Parameters!$B$37,1,IF(AY9&lt;0,-1,0)),0)</f>
        <v>1</v>
      </c>
      <c r="BU9" s="10" t="n">
        <f aca="false">IF(ISNUMBER(AZ9),IF(AZ9&gt;0,1,0),0)</f>
        <v>1</v>
      </c>
      <c r="BV9" s="10" t="n">
        <f aca="false">IF(ISNUMBER(AL9),IF(AL9&gt;Parameters!$B$39,2,IF(AL9&gt;Parameters!$B$40,1,IF(AL9&lt;0,-2,IF(AL9&lt;Parameters!$B$41,-1,0)))),0)</f>
        <v>2</v>
      </c>
      <c r="BW9" s="10" t="n">
        <f aca="false">IF(ISNUMBER(AV9),IF(AV9&gt;Parameters!$B$42,1,IF(AV9&lt;Parameters!$B$43,-1,0)),0)</f>
        <v>0</v>
      </c>
      <c r="BX9" s="10" t="n">
        <f aca="false">IF(AND(ISNUMBER(AX9),AX9&gt;0),1,IF(AND(ISNUMBER(AY9),AY9&lt;Parameters!$B$44),-1,0))</f>
        <v>1</v>
      </c>
      <c r="BY9" s="10" t="n">
        <f aca="false">IF(ISNUMBER(AW9),IF(AW9&gt;0,1,0),0)</f>
        <v>1</v>
      </c>
      <c r="BZ9" s="10" t="n">
        <f aca="false">IF(ISNUMBER(AQ9),IF(AQ9&gt;Parameters!$B$46,-2,IF(AQ9&gt;Parameters!$B$45,-1,0)),0)</f>
        <v>0</v>
      </c>
      <c r="CA9" s="10" t="n">
        <f aca="false">IF(ISNUMBER(F9),IF(F9&gt;=Parameters!$B$47,1,IF(F9&lt;=Parameters!$B$48,-1,0)),0)</f>
        <v>1</v>
      </c>
      <c r="CB9" s="17" t="n">
        <f aca="false">IF(BF9="Established",BP9+BQ9+BR9+BS9+BT9+BU9,IF(BF9="Early",BV9+BW9+BX9+BY9+BZ9+CA9,0))</f>
        <v>7</v>
      </c>
      <c r="CC9" s="18" t="n">
        <f aca="false">IF(BF9="Established",BO9+CB9,IF(BF9="Early",BO9+Parameters!$B$50*CB9,BO9))</f>
        <v>12</v>
      </c>
      <c r="CD9" s="17" t="n">
        <f aca="false">IF(BF9="Established",IF(CC9&gt;=Parameters!$B$51,6,IF(CC9&gt;=Parameters!$B$52,5,IF(CC9&gt;=Parameters!$B$53,4,IF(CC9&gt;=Parameters!$B$54,3,IF(CC9&gt;=Parameters!$B$55,2,1))))),IF(BF9="Early",IF(CC9&gt;=Parameters!$B$56,5,IF(CC9&gt;=Parameters!$B$57,4,IF(CC9&gt;=Parameters!$B$58,3,IF(CC9&gt;=Parameters!$B$59,2,1)))),IF(CC9&gt;=Parameters!$B$60,6,IF(CC9&gt;=Parameters!$B$61,5,IF(CC9&gt;=Parameters!$B$62,4,IF(CC9&gt;=Parameters!$B$63,3,IF(CC9&gt;=Parameters!$B$64,2,1)))))))</f>
        <v>5</v>
      </c>
      <c r="CE9" s="10" t="n">
        <f aca="false">IF(AND(ISNUMBER(AR9),AR9&lt;Parameters!$B$66),1,0)</f>
        <v>0</v>
      </c>
      <c r="CF9" s="10" t="n">
        <f aca="false">IF(AND(LEFT(AH9,5)="Death",ISNUMBER(AG9)),IF(BF9="Early",IF(AND(AG9&lt;Parameters!$B$70,ISNUMBER(U9),U9&lt;Parameters!$B$71),1,0),IF(AND(AG9&lt;Parameters!$B$67,OR(AND(ISNUMBER(U9),U9&lt;Parameters!$B$68),AND(ISNUMBER(V9),V9&lt;Parameters!$B$69))),1,0)),0)</f>
        <v>0</v>
      </c>
      <c r="CG9" s="10" t="n">
        <f aca="false">IF(AND(ISNUMBER(AG9),AG9&lt;0),1,0)</f>
        <v>0</v>
      </c>
      <c r="CH9" s="10" t="n">
        <f aca="false">IF(OR(AND(ISNUMBER(U9),U9&gt;Parameters!$B$74),AND(ISNUMBER(AF9),AF9&gt;Parameters!$B$75),AND(ISNUMBER(AE9),AE9&gt;Parameters!$B$76)),1,0)</f>
        <v>0</v>
      </c>
      <c r="CI9" s="10" t="n">
        <f aca="false">IF(AND(ISNUMBER(BC9),BC9&gt;=0,BC9&lt;=Parameters!$B$77),1,0)</f>
        <v>0</v>
      </c>
      <c r="CJ9" s="17" t="n">
        <f aca="false">IF(CF9=1,1,MIN(CD9,IF(CE9=1,3,6),IF(CG9=1,IF(BF9="Early",Parameters!$B$73,Parameters!$B$72),6),IF(CH9=1,3,6),IF(CI9=1,3,6)))</f>
        <v>5</v>
      </c>
      <c r="CK9" s="10" t="str">
        <f aca="false">INDEX(Parameters!$F$2:$F$7,CJ9)</f>
        <v>Buy</v>
      </c>
      <c r="CL9" s="10" t="str">
        <f aca="false">IF(CF9=1,"Hard sell: breakdown; ","")&amp;IF(CE9=1,"Insufficient history; ","")&amp;IF(AND(CF9=0,CG9=1),"Below 200D; ","")&amp;IF(CH9=1,"Extended - wait for pullback; ","")&amp;IF(CI9=1,"Earnings within "&amp;Parameters!$B$77&amp;"d; ","")</f>
        <v/>
      </c>
    </row>
    <row r="10" customFormat="false" ht="15" hidden="false" customHeight="false" outlineLevel="0" collapsed="false">
      <c r="A10" s="10" t="s">
        <v>320</v>
      </c>
      <c r="B10" s="10" t="n">
        <v>8</v>
      </c>
      <c r="C10" s="10" t="n">
        <v>7</v>
      </c>
      <c r="D10" s="10" t="n">
        <v>64.4</v>
      </c>
      <c r="E10" s="10" t="n">
        <v>4</v>
      </c>
      <c r="F10" s="10" t="n">
        <v>9</v>
      </c>
      <c r="G10" s="10" t="s">
        <v>321</v>
      </c>
      <c r="H10" s="10" t="s">
        <v>294</v>
      </c>
      <c r="I10" s="10" t="n">
        <v>1688.55</v>
      </c>
      <c r="J10" s="10" t="s">
        <v>295</v>
      </c>
      <c r="K10" s="10" t="s">
        <v>296</v>
      </c>
      <c r="L10" s="15" t="n">
        <v>258308014850</v>
      </c>
      <c r="M10" s="16" t="n">
        <v>46239</v>
      </c>
      <c r="N10" s="10" t="n">
        <v>13.7</v>
      </c>
      <c r="O10" s="16" t="n">
        <v>46330</v>
      </c>
      <c r="P10" s="10" t="s">
        <v>297</v>
      </c>
      <c r="Q10" s="10" t="n">
        <v>-4.29</v>
      </c>
      <c r="R10" s="10" t="n">
        <v>1.51</v>
      </c>
      <c r="S10" s="10" t="n">
        <v>8.7</v>
      </c>
      <c r="T10" s="10" t="n">
        <v>12.62</v>
      </c>
      <c r="U10" s="10" t="n">
        <v>32.85</v>
      </c>
      <c r="V10" s="10" t="n">
        <v>2.76</v>
      </c>
      <c r="W10" s="10" t="n">
        <v>157.62</v>
      </c>
      <c r="X10" s="10" t="n">
        <v>2294.77</v>
      </c>
      <c r="Y10" s="10"/>
      <c r="Z10" s="10"/>
      <c r="AA10" s="10"/>
      <c r="AB10" s="10"/>
      <c r="AC10" s="10" t="n">
        <v>-1.88</v>
      </c>
      <c r="AD10" s="10" t="n">
        <v>-28.28</v>
      </c>
      <c r="AE10" s="10" t="n">
        <v>57.08</v>
      </c>
      <c r="AF10" s="10" t="n">
        <v>10.67</v>
      </c>
      <c r="AG10" s="10" t="n">
        <v>64.5</v>
      </c>
      <c r="AH10" s="10" t="s">
        <v>301</v>
      </c>
      <c r="AI10" s="10" t="n">
        <v>24.58</v>
      </c>
      <c r="AJ10" s="10" t="n">
        <v>-27.43</v>
      </c>
      <c r="AK10" s="10" t="n">
        <v>371.59</v>
      </c>
      <c r="AL10" s="10" t="n">
        <v>371.6</v>
      </c>
      <c r="AM10" s="10" t="n">
        <v>56.46</v>
      </c>
      <c r="AN10" s="10" t="n">
        <v>91.64</v>
      </c>
      <c r="AO10" s="10" t="n">
        <v>6.79</v>
      </c>
      <c r="AP10" s="10" t="n">
        <v>0</v>
      </c>
      <c r="AQ10" s="10" t="n">
        <v>5.32</v>
      </c>
      <c r="AR10" s="10" t="n">
        <v>300</v>
      </c>
      <c r="AS10" s="16" t="n">
        <v>46275</v>
      </c>
      <c r="AT10" s="15" t="n">
        <v>20248000512</v>
      </c>
      <c r="AU10" s="15" t="n">
        <v>14471999488</v>
      </c>
      <c r="AV10" s="10" t="n">
        <v>71.47</v>
      </c>
      <c r="AW10" s="15" t="n">
        <v>11432999936</v>
      </c>
      <c r="AX10" s="15" t="n">
        <v>7720875008</v>
      </c>
      <c r="AY10" s="10" t="n">
        <v>38.13</v>
      </c>
      <c r="AZ10" s="15" t="n">
        <v>4560999872</v>
      </c>
      <c r="BA10" s="10" t="n">
        <v>2244.23</v>
      </c>
      <c r="BB10" s="10" t="n">
        <v>70.83</v>
      </c>
      <c r="BC10" s="17" t="n">
        <f aca="false">IF(AND(ISNUMBER(O10),ISNUMBER(AS10)),O10-AS10,"")</f>
        <v>55</v>
      </c>
      <c r="BD10" s="10" t="n">
        <f aca="false">IF(OR(ISNUMBER(SEARCH("ETF",H10)),AND(F10="",AO10="")),1,0)</f>
        <v>0</v>
      </c>
      <c r="BE10" s="17" t="n">
        <f aca="false">IF(ISNUMBER(L10),IF(L10&gt;=Parameters!$B$3,2,IF(L10&gt;=Parameters!$B$4,1,0)),0)+IF(ISNUMBER(AW10),IF(AW10&gt;0,IF(AND(ISNUMBER(AM10),AM10&gt;=Parameters!$B$5),2,1),0),0)+IF(ISNUMBER(AX10),IF(AND(AX10&gt;0,ISNUMBER(AY10),AY10&gt;=Parameters!$B$6),1,0),0)+IF(ISNUMBER(AO10),IF(AND(AO10&gt;0,AO10&lt;=Parameters!$B$7),1,0),0)+IF(ISNUMBER(F10),IF(F10&gt;=Parameters!$B$8,1,0),0)</f>
        <v>7</v>
      </c>
      <c r="BF10" s="10" t="str">
        <f aca="false">IF(BD10=1,"ETF",IF(OR(AND(ISNUMBER(L10),L10&gt;=Parameters!$B$10),BE10&gt;=Parameters!$B$9),"Established","Early"))</f>
        <v>Established</v>
      </c>
      <c r="BG10" s="10" t="n">
        <f aca="false">IF(LEFT(AH10,6)="Golden",2,IF(LEFT(AH10,5)="Death",-2,0))</f>
        <v>2</v>
      </c>
      <c r="BH10" s="10" t="n">
        <f aca="false">IF(ISNUMBER(AG10),IF(AG10&gt;Parameters!$B$12,2,IF(AG10&gt;0,1,IF(AG10&gt;=Parameters!$B$13,-1,-2))),0)</f>
        <v>2</v>
      </c>
      <c r="BI10" s="10" t="n">
        <f aca="false">IF(ISNUMBER(AF10),IF(AND(AF10&gt;=Parameters!$B$14,AF10&lt;=Parameters!$B$15),1,IF(OR(AF10&gt;Parameters!$B$16,AF10&lt;Parameters!$B$17),-1,0)),0)</f>
        <v>0</v>
      </c>
      <c r="BJ10" s="10" t="n">
        <f aca="false">IF(ISNUMBER(AE10),IF(AND(AE10&gt;=Parameters!$B$18,AE10&lt;=Parameters!$B$19),1,IF(OR(AE10&gt;Parameters!$B$20,AE10&lt;Parameters!$B$21),-1,0)),0)</f>
        <v>1</v>
      </c>
      <c r="BK10" s="10" t="n">
        <f aca="false">IF(ISNUMBER(E10),IF(E10&gt;Parameters!$B$22,1,IF(E10&lt;Parameters!$B$23,-1,0)),0)</f>
        <v>1</v>
      </c>
      <c r="BL10" s="10" t="n">
        <f aca="false">IF(ISNUMBER(C10),IF(C10&gt;=Parameters!$B$24,1,IF(C10&lt;=Parameters!$B$25,-1,0)),0)</f>
        <v>1</v>
      </c>
      <c r="BM10" s="10" t="n">
        <f aca="false">IF(ISNUMBER(AJ10),IF(AND(AJ10&gt;Parameters!$B$26,ISNUMBER(U10)),IF(U10&lt;0,-1,1),0),0)</f>
        <v>0</v>
      </c>
      <c r="BN10" s="10" t="n">
        <f aca="false">IF(ISNUMBER(AD10),IF(AD10&gt;Parameters!$B$27,1,IF(AD10&lt;Parameters!$B$28,-1,0)),0)</f>
        <v>0</v>
      </c>
      <c r="BO10" s="17" t="n">
        <f aca="false">BG10+BH10+BI10+BJ10+BK10+BL10+BM10+BN10</f>
        <v>7</v>
      </c>
      <c r="BP10" s="10" t="n">
        <f aca="false">IF(ISNUMBER(F10),IF(F10&gt;=Parameters!$B$30,2,IF(F10&gt;=Parameters!$B$31,1,IF(F10&lt;=Parameters!$B$32,-1,0))),0)</f>
        <v>2</v>
      </c>
      <c r="BQ10" s="10" t="n">
        <f aca="false">IF(ISNUMBER(AK10),IF(AK10&gt;Parameters!$B$33,1,IF(AK10&lt;0,-1,0)),0)</f>
        <v>1</v>
      </c>
      <c r="BR10" s="10" t="n">
        <f aca="false">IF(ISNUMBER(AL10),IF(AL10&gt;Parameters!$B$34,1,IF(AL10&lt;0,-1,0)),0)</f>
        <v>1</v>
      </c>
      <c r="BS10" s="10" t="n">
        <f aca="false">IF(ISNUMBER(AP10),IF(AND(AP10&gt;0,AP10&lt;=Parameters!$B$35),1,IF(AP10&gt;Parameters!$B$36,-1,0)),0)</f>
        <v>0</v>
      </c>
      <c r="BT10" s="10" t="n">
        <f aca="false">IF(ISNUMBER(AY10),IF(AY10&gt;Parameters!$B$37,1,IF(AY10&lt;0,-1,0)),0)</f>
        <v>1</v>
      </c>
      <c r="BU10" s="10" t="n">
        <f aca="false">IF(ISNUMBER(AZ10),IF(AZ10&gt;0,1,0),0)</f>
        <v>1</v>
      </c>
      <c r="BV10" s="10" t="n">
        <f aca="false">IF(ISNUMBER(AL10),IF(AL10&gt;Parameters!$B$39,2,IF(AL10&gt;Parameters!$B$40,1,IF(AL10&lt;0,-2,IF(AL10&lt;Parameters!$B$41,-1,0)))),0)</f>
        <v>2</v>
      </c>
      <c r="BW10" s="10" t="n">
        <f aca="false">IF(ISNUMBER(AV10),IF(AV10&gt;Parameters!$B$42,1,IF(AV10&lt;Parameters!$B$43,-1,0)),0)</f>
        <v>1</v>
      </c>
      <c r="BX10" s="10" t="n">
        <f aca="false">IF(AND(ISNUMBER(AX10),AX10&gt;0),1,IF(AND(ISNUMBER(AY10),AY10&lt;Parameters!$B$44),-1,0))</f>
        <v>1</v>
      </c>
      <c r="BY10" s="10" t="n">
        <f aca="false">IF(ISNUMBER(AW10),IF(AW10&gt;0,1,0),0)</f>
        <v>1</v>
      </c>
      <c r="BZ10" s="10" t="n">
        <f aca="false">IF(ISNUMBER(AQ10),IF(AQ10&gt;Parameters!$B$46,-2,IF(AQ10&gt;Parameters!$B$45,-1,0)),0)</f>
        <v>0</v>
      </c>
      <c r="CA10" s="10" t="n">
        <f aca="false">IF(ISNUMBER(F10),IF(F10&gt;=Parameters!$B$47,1,IF(F10&lt;=Parameters!$B$48,-1,0)),0)</f>
        <v>1</v>
      </c>
      <c r="CB10" s="17" t="n">
        <f aca="false">IF(BF10="Established",BP10+BQ10+BR10+BS10+BT10+BU10,IF(BF10="Early",BV10+BW10+BX10+BY10+BZ10+CA10,0))</f>
        <v>6</v>
      </c>
      <c r="CC10" s="18" t="n">
        <f aca="false">IF(BF10="Established",BO10+CB10,IF(BF10="Early",BO10+Parameters!$B$50*CB10,BO10))</f>
        <v>13</v>
      </c>
      <c r="CD10" s="17" t="n">
        <f aca="false">IF(BF10="Established",IF(CC10&gt;=Parameters!$B$51,6,IF(CC10&gt;=Parameters!$B$52,5,IF(CC10&gt;=Parameters!$B$53,4,IF(CC10&gt;=Parameters!$B$54,3,IF(CC10&gt;=Parameters!$B$55,2,1))))),IF(BF10="Early",IF(CC10&gt;=Parameters!$B$56,5,IF(CC10&gt;=Parameters!$B$57,4,IF(CC10&gt;=Parameters!$B$58,3,IF(CC10&gt;=Parameters!$B$59,2,1)))),IF(CC10&gt;=Parameters!$B$60,6,IF(CC10&gt;=Parameters!$B$61,5,IF(CC10&gt;=Parameters!$B$62,4,IF(CC10&gt;=Parameters!$B$63,3,IF(CC10&gt;=Parameters!$B$64,2,1)))))))</f>
        <v>6</v>
      </c>
      <c r="CE10" s="10" t="n">
        <f aca="false">IF(AND(ISNUMBER(AR10),AR10&lt;Parameters!$B$66),1,0)</f>
        <v>0</v>
      </c>
      <c r="CF10" s="10" t="n">
        <f aca="false">IF(AND(LEFT(AH10,5)="Death",ISNUMBER(AG10)),IF(BF10="Early",IF(AND(AG10&lt;Parameters!$B$70,ISNUMBER(U10),U10&lt;Parameters!$B$71),1,0),IF(AND(AG10&lt;Parameters!$B$67,OR(AND(ISNUMBER(U10),U10&lt;Parameters!$B$68),AND(ISNUMBER(V10),V10&lt;Parameters!$B$69))),1,0)),0)</f>
        <v>0</v>
      </c>
      <c r="CG10" s="10" t="n">
        <f aca="false">IF(AND(ISNUMBER(AG10),AG10&lt;0),1,0)</f>
        <v>0</v>
      </c>
      <c r="CH10" s="10" t="n">
        <f aca="false">IF(OR(AND(ISNUMBER(U10),U10&gt;Parameters!$B$74),AND(ISNUMBER(AF10),AF10&gt;Parameters!$B$75),AND(ISNUMBER(AE10),AE10&gt;Parameters!$B$76)),1,0)</f>
        <v>1</v>
      </c>
      <c r="CI10" s="10" t="n">
        <f aca="false">IF(AND(ISNUMBER(BC10),BC10&gt;=0,BC10&lt;=Parameters!$B$77),1,0)</f>
        <v>0</v>
      </c>
      <c r="CJ10" s="17" t="n">
        <f aca="false">IF(CF10=1,1,MIN(CD10,IF(CE10=1,3,6),IF(CG10=1,IF(BF10="Early",Parameters!$B$73,Parameters!$B$72),6),IF(CH10=1,3,6),IF(CI10=1,3,6)))</f>
        <v>3</v>
      </c>
      <c r="CK10" s="10" t="str">
        <f aca="false">INDEX(Parameters!$F$2:$F$7,CJ10)</f>
        <v>Hold</v>
      </c>
      <c r="CL10" s="10" t="str">
        <f aca="false">IF(CF10=1,"Hard sell: breakdown; ","")&amp;IF(CE10=1,"Insufficient history; ","")&amp;IF(AND(CF10=0,CG10=1),"Below 200D; ","")&amp;IF(CH10=1,"Extended - wait for pullback; ","")&amp;IF(CI10=1,"Earnings within "&amp;Parameters!$B$77&amp;"d; ","")</f>
        <v>Extended - wait for pullback; </v>
      </c>
    </row>
    <row r="11" customFormat="false" ht="15" hidden="false" customHeight="false" outlineLevel="0" collapsed="false">
      <c r="A11" s="10" t="s">
        <v>322</v>
      </c>
      <c r="B11" s="10" t="n">
        <v>8</v>
      </c>
      <c r="C11" s="10" t="n">
        <v>6</v>
      </c>
      <c r="D11" s="10" t="n">
        <v>50.6</v>
      </c>
      <c r="E11" s="10" t="n">
        <v>9.7</v>
      </c>
      <c r="F11" s="10" t="n">
        <v>10</v>
      </c>
      <c r="G11" s="10" t="s">
        <v>323</v>
      </c>
      <c r="H11" s="10" t="s">
        <v>317</v>
      </c>
      <c r="I11" s="10" t="n">
        <v>430.67</v>
      </c>
      <c r="J11" s="10" t="s">
        <v>295</v>
      </c>
      <c r="K11" s="10" t="s">
        <v>296</v>
      </c>
      <c r="L11" s="15" t="n">
        <v>2257983274434</v>
      </c>
      <c r="M11" s="16" t="n">
        <v>46219</v>
      </c>
      <c r="N11" s="10" t="n">
        <v>10.8</v>
      </c>
      <c r="O11" s="16" t="n">
        <v>46310</v>
      </c>
      <c r="P11" s="10" t="s">
        <v>297</v>
      </c>
      <c r="Q11" s="10" t="n">
        <v>-1.08</v>
      </c>
      <c r="R11" s="10" t="n">
        <v>-0.83</v>
      </c>
      <c r="S11" s="10" t="n">
        <v>3.65</v>
      </c>
      <c r="T11" s="10" t="n">
        <v>3.11</v>
      </c>
      <c r="U11" s="10" t="n">
        <v>2.04</v>
      </c>
      <c r="V11" s="10" t="n">
        <v>5.36</v>
      </c>
      <c r="W11" s="10" t="n">
        <v>21.47</v>
      </c>
      <c r="X11" s="10" t="n">
        <v>71.64</v>
      </c>
      <c r="Y11" s="10"/>
      <c r="Z11" s="10"/>
      <c r="AA11" s="10"/>
      <c r="AB11" s="10"/>
      <c r="AC11" s="10" t="n">
        <v>0.72</v>
      </c>
      <c r="AD11" s="10" t="n">
        <v>-10.09</v>
      </c>
      <c r="AE11" s="10" t="n">
        <v>55.79</v>
      </c>
      <c r="AF11" s="10" t="n">
        <v>2.73</v>
      </c>
      <c r="AG11" s="10" t="n">
        <v>14.79</v>
      </c>
      <c r="AH11" s="10" t="s">
        <v>301</v>
      </c>
      <c r="AI11" s="10" t="n">
        <v>1.91</v>
      </c>
      <c r="AJ11" s="10" t="n">
        <v>-6.08</v>
      </c>
      <c r="AK11" s="10" t="n">
        <v>77.4</v>
      </c>
      <c r="AL11" s="10" t="n">
        <v>36</v>
      </c>
      <c r="AM11" s="10" t="n">
        <v>49.92</v>
      </c>
      <c r="AN11" s="10" t="n">
        <v>39.97</v>
      </c>
      <c r="AO11" s="10" t="n">
        <v>19.77</v>
      </c>
      <c r="AP11" s="10" t="n">
        <v>0.41</v>
      </c>
      <c r="AQ11" s="10" t="n">
        <v>0.08</v>
      </c>
      <c r="AR11" s="10" t="n">
        <v>300</v>
      </c>
      <c r="AS11" s="16" t="n">
        <v>46275</v>
      </c>
      <c r="AT11" s="15" t="n">
        <v>140865738606</v>
      </c>
      <c r="AU11" s="15" t="n">
        <v>90478306998</v>
      </c>
      <c r="AV11" s="10" t="n">
        <v>64.23</v>
      </c>
      <c r="AW11" s="15" t="n">
        <v>70323813356</v>
      </c>
      <c r="AX11" s="15" t="n">
        <v>23183993664</v>
      </c>
      <c r="AY11" s="10" t="n">
        <v>16.46</v>
      </c>
      <c r="AZ11" s="15" t="n">
        <v>77703956676</v>
      </c>
      <c r="BA11" s="10" t="n">
        <v>67.09</v>
      </c>
      <c r="BB11" s="10" t="n">
        <v>78.16</v>
      </c>
      <c r="BC11" s="17" t="n">
        <f aca="false">IF(AND(ISNUMBER(O11),ISNUMBER(AS11)),O11-AS11,"")</f>
        <v>35</v>
      </c>
      <c r="BD11" s="10" t="n">
        <f aca="false">IF(OR(ISNUMBER(SEARCH("ETF",H11)),AND(F11="",AO11="")),1,0)</f>
        <v>0</v>
      </c>
      <c r="BE11" s="17" t="n">
        <f aca="false">IF(ISNUMBER(L11),IF(L11&gt;=Parameters!$B$3,2,IF(L11&gt;=Parameters!$B$4,1,0)),0)+IF(ISNUMBER(AW11),IF(AW11&gt;0,IF(AND(ISNUMBER(AM11),AM11&gt;=Parameters!$B$5),2,1),0),0)+IF(ISNUMBER(AX11),IF(AND(AX11&gt;0,ISNUMBER(AY11),AY11&gt;=Parameters!$B$6),1,0),0)+IF(ISNUMBER(AO11),IF(AND(AO11&gt;0,AO11&lt;=Parameters!$B$7),1,0),0)+IF(ISNUMBER(F11),IF(F11&gt;=Parameters!$B$8,1,0),0)</f>
        <v>7</v>
      </c>
      <c r="BF11" s="10" t="str">
        <f aca="false">IF(BD11=1,"ETF",IF(OR(AND(ISNUMBER(L11),L11&gt;=Parameters!$B$10),BE11&gt;=Parameters!$B$9),"Established","Early"))</f>
        <v>Established</v>
      </c>
      <c r="BG11" s="10" t="n">
        <f aca="false">IF(LEFT(AH11,6)="Golden",2,IF(LEFT(AH11,5)="Death",-2,0))</f>
        <v>2</v>
      </c>
      <c r="BH11" s="10" t="n">
        <f aca="false">IF(ISNUMBER(AG11),IF(AG11&gt;Parameters!$B$12,2,IF(AG11&gt;0,1,IF(AG11&gt;=Parameters!$B$13,-1,-2))),0)</f>
        <v>2</v>
      </c>
      <c r="BI11" s="10" t="n">
        <f aca="false">IF(ISNUMBER(AF11),IF(AND(AF11&gt;=Parameters!$B$14,AF11&lt;=Parameters!$B$15),1,IF(OR(AF11&gt;Parameters!$B$16,AF11&lt;Parameters!$B$17),-1,0)),0)</f>
        <v>1</v>
      </c>
      <c r="BJ11" s="10" t="n">
        <f aca="false">IF(ISNUMBER(AE11),IF(AND(AE11&gt;=Parameters!$B$18,AE11&lt;=Parameters!$B$19),1,IF(OR(AE11&gt;Parameters!$B$20,AE11&lt;Parameters!$B$21),-1,0)),0)</f>
        <v>1</v>
      </c>
      <c r="BK11" s="10" t="n">
        <f aca="false">IF(ISNUMBER(E11),IF(E11&gt;Parameters!$B$22,1,IF(E11&lt;Parameters!$B$23,-1,0)),0)</f>
        <v>1</v>
      </c>
      <c r="BL11" s="10" t="n">
        <f aca="false">IF(ISNUMBER(C11),IF(C11&gt;=Parameters!$B$24,1,IF(C11&lt;=Parameters!$B$25,-1,0)),0)</f>
        <v>0</v>
      </c>
      <c r="BM11" s="10" t="n">
        <f aca="false">IF(ISNUMBER(AJ11),IF(AND(AJ11&gt;Parameters!$B$26,ISNUMBER(U11)),IF(U11&lt;0,-1,1),0),0)</f>
        <v>0</v>
      </c>
      <c r="BN11" s="10" t="n">
        <f aca="false">IF(ISNUMBER(AD11),IF(AD11&gt;Parameters!$B$27,1,IF(AD11&lt;Parameters!$B$28,-1,0)),0)</f>
        <v>0</v>
      </c>
      <c r="BO11" s="17" t="n">
        <f aca="false">BG11+BH11+BI11+BJ11+BK11+BL11+BM11+BN11</f>
        <v>7</v>
      </c>
      <c r="BP11" s="10" t="n">
        <f aca="false">IF(ISNUMBER(F11),IF(F11&gt;=Parameters!$B$30,2,IF(F11&gt;=Parameters!$B$31,1,IF(F11&lt;=Parameters!$B$32,-1,0))),0)</f>
        <v>2</v>
      </c>
      <c r="BQ11" s="10" t="n">
        <f aca="false">IF(ISNUMBER(AK11),IF(AK11&gt;Parameters!$B$33,1,IF(AK11&lt;0,-1,0)),0)</f>
        <v>1</v>
      </c>
      <c r="BR11" s="10" t="n">
        <f aca="false">IF(ISNUMBER(AL11),IF(AL11&gt;Parameters!$B$34,1,IF(AL11&lt;0,-1,0)),0)</f>
        <v>1</v>
      </c>
      <c r="BS11" s="10" t="n">
        <f aca="false">IF(ISNUMBER(AP11),IF(AND(AP11&gt;0,AP11&lt;=Parameters!$B$35),1,IF(AP11&gt;Parameters!$B$36,-1,0)),0)</f>
        <v>1</v>
      </c>
      <c r="BT11" s="10" t="n">
        <f aca="false">IF(ISNUMBER(AY11),IF(AY11&gt;Parameters!$B$37,1,IF(AY11&lt;0,-1,0)),0)</f>
        <v>1</v>
      </c>
      <c r="BU11" s="10" t="n">
        <f aca="false">IF(ISNUMBER(AZ11),IF(AZ11&gt;0,1,0),0)</f>
        <v>1</v>
      </c>
      <c r="BV11" s="10" t="n">
        <f aca="false">IF(ISNUMBER(AL11),IF(AL11&gt;Parameters!$B$39,2,IF(AL11&gt;Parameters!$B$40,1,IF(AL11&lt;0,-2,IF(AL11&lt;Parameters!$B$41,-1,0)))),0)</f>
        <v>2</v>
      </c>
      <c r="BW11" s="10" t="n">
        <f aca="false">IF(ISNUMBER(AV11),IF(AV11&gt;Parameters!$B$42,1,IF(AV11&lt;Parameters!$B$43,-1,0)),0)</f>
        <v>1</v>
      </c>
      <c r="BX11" s="10" t="n">
        <f aca="false">IF(AND(ISNUMBER(AX11),AX11&gt;0),1,IF(AND(ISNUMBER(AY11),AY11&lt;Parameters!$B$44),-1,0))</f>
        <v>1</v>
      </c>
      <c r="BY11" s="10" t="n">
        <f aca="false">IF(ISNUMBER(AW11),IF(AW11&gt;0,1,0),0)</f>
        <v>1</v>
      </c>
      <c r="BZ11" s="10" t="n">
        <f aca="false">IF(ISNUMBER(AQ11),IF(AQ11&gt;Parameters!$B$46,-2,IF(AQ11&gt;Parameters!$B$45,-1,0)),0)</f>
        <v>0</v>
      </c>
      <c r="CA11" s="10" t="n">
        <f aca="false">IF(ISNUMBER(F11),IF(F11&gt;=Parameters!$B$47,1,IF(F11&lt;=Parameters!$B$48,-1,0)),0)</f>
        <v>1</v>
      </c>
      <c r="CB11" s="17" t="n">
        <f aca="false">IF(BF11="Established",BP11+BQ11+BR11+BS11+BT11+BU11,IF(BF11="Early",BV11+BW11+BX11+BY11+BZ11+CA11,0))</f>
        <v>7</v>
      </c>
      <c r="CC11" s="18" t="n">
        <f aca="false">IF(BF11="Established",BO11+CB11,IF(BF11="Early",BO11+Parameters!$B$50*CB11,BO11))</f>
        <v>14</v>
      </c>
      <c r="CD11" s="17" t="n">
        <f aca="false">IF(BF11="Established",IF(CC11&gt;=Parameters!$B$51,6,IF(CC11&gt;=Parameters!$B$52,5,IF(CC11&gt;=Parameters!$B$53,4,IF(CC11&gt;=Parameters!$B$54,3,IF(CC11&gt;=Parameters!$B$55,2,1))))),IF(BF11="Early",IF(CC11&gt;=Parameters!$B$56,5,IF(CC11&gt;=Parameters!$B$57,4,IF(CC11&gt;=Parameters!$B$58,3,IF(CC11&gt;=Parameters!$B$59,2,1)))),IF(CC11&gt;=Parameters!$B$60,6,IF(CC11&gt;=Parameters!$B$61,5,IF(CC11&gt;=Parameters!$B$62,4,IF(CC11&gt;=Parameters!$B$63,3,IF(CC11&gt;=Parameters!$B$64,2,1)))))))</f>
        <v>6</v>
      </c>
      <c r="CE11" s="10" t="n">
        <f aca="false">IF(AND(ISNUMBER(AR11),AR11&lt;Parameters!$B$66),1,0)</f>
        <v>0</v>
      </c>
      <c r="CF11" s="10" t="n">
        <f aca="false">IF(AND(LEFT(AH11,5)="Death",ISNUMBER(AG11)),IF(BF11="Early",IF(AND(AG11&lt;Parameters!$B$70,ISNUMBER(U11),U11&lt;Parameters!$B$71),1,0),IF(AND(AG11&lt;Parameters!$B$67,OR(AND(ISNUMBER(U11),U11&lt;Parameters!$B$68),AND(ISNUMBER(V11),V11&lt;Parameters!$B$69))),1,0)),0)</f>
        <v>0</v>
      </c>
      <c r="CG11" s="10" t="n">
        <f aca="false">IF(AND(ISNUMBER(AG11),AG11&lt;0),1,0)</f>
        <v>0</v>
      </c>
      <c r="CH11" s="10" t="n">
        <f aca="false">IF(OR(AND(ISNUMBER(U11),U11&gt;Parameters!$B$74),AND(ISNUMBER(AF11),AF11&gt;Parameters!$B$75),AND(ISNUMBER(AE11),AE11&gt;Parameters!$B$76)),1,0)</f>
        <v>0</v>
      </c>
      <c r="CI11" s="10" t="n">
        <f aca="false">IF(AND(ISNUMBER(BC11),BC11&gt;=0,BC11&lt;=Parameters!$B$77),1,0)</f>
        <v>0</v>
      </c>
      <c r="CJ11" s="17" t="n">
        <f aca="false">IF(CF11=1,1,MIN(CD11,IF(CE11=1,3,6),IF(CG11=1,IF(BF11="Early",Parameters!$B$73,Parameters!$B$72),6),IF(CH11=1,3,6),IF(CI11=1,3,6)))</f>
        <v>6</v>
      </c>
      <c r="CK11" s="10" t="str">
        <f aca="false">INDEX(Parameters!$F$2:$F$7,CJ11)</f>
        <v>Strong Buy</v>
      </c>
      <c r="CL11" s="10" t="str">
        <f aca="false">IF(CF11=1,"Hard sell: breakdown; ","")&amp;IF(CE11=1,"Insufficient history; ","")&amp;IF(AND(CF11=0,CG11=1),"Below 200D; ","")&amp;IF(CH11=1,"Extended - wait for pullback; ","")&amp;IF(CI11=1,"Earnings within "&amp;Parameters!$B$77&amp;"d; ","")</f>
        <v/>
      </c>
    </row>
    <row r="12" customFormat="false" ht="15" hidden="false" customHeight="false" outlineLevel="0" collapsed="false">
      <c r="A12" s="10" t="s">
        <v>324</v>
      </c>
      <c r="B12" s="10" t="n">
        <v>7</v>
      </c>
      <c r="C12" s="10" t="n">
        <v>6</v>
      </c>
      <c r="D12" s="10" t="n">
        <v>56</v>
      </c>
      <c r="E12" s="10" t="n">
        <v>3</v>
      </c>
      <c r="F12" s="10" t="n">
        <v>10</v>
      </c>
      <c r="G12" s="10" t="s">
        <v>325</v>
      </c>
      <c r="H12" s="10" t="s">
        <v>317</v>
      </c>
      <c r="I12" s="10" t="n">
        <v>457.48</v>
      </c>
      <c r="J12" s="10" t="s">
        <v>295</v>
      </c>
      <c r="K12" s="10" t="s">
        <v>296</v>
      </c>
      <c r="L12" s="15" t="n">
        <v>372078169086</v>
      </c>
      <c r="M12" s="16" t="n">
        <v>46247</v>
      </c>
      <c r="N12" s="10" t="n">
        <v>3.24</v>
      </c>
      <c r="O12" s="16" t="n">
        <v>46338</v>
      </c>
      <c r="P12" s="10" t="s">
        <v>297</v>
      </c>
      <c r="Q12" s="10" t="n">
        <v>-2.43</v>
      </c>
      <c r="R12" s="10" t="n">
        <v>-0.83</v>
      </c>
      <c r="S12" s="10" t="n">
        <v>4.34</v>
      </c>
      <c r="T12" s="10" t="n">
        <v>-4.64</v>
      </c>
      <c r="U12" s="10" t="n">
        <v>-12.96</v>
      </c>
      <c r="V12" s="10" t="n">
        <v>-7.95</v>
      </c>
      <c r="W12" s="10" t="n">
        <v>30.31</v>
      </c>
      <c r="X12" s="10" t="n">
        <v>179.8</v>
      </c>
      <c r="Y12" s="10"/>
      <c r="Z12" s="10"/>
      <c r="AA12" s="10"/>
      <c r="AB12" s="10"/>
      <c r="AC12" s="10" t="n">
        <v>-12.59</v>
      </c>
      <c r="AD12" s="10" t="n">
        <v>-38.15</v>
      </c>
      <c r="AE12" s="10" t="n">
        <v>41.59</v>
      </c>
      <c r="AF12" s="10" t="n">
        <v>-12.16</v>
      </c>
      <c r="AG12" s="10" t="n">
        <v>11.4</v>
      </c>
      <c r="AH12" s="10" t="s">
        <v>301</v>
      </c>
      <c r="AI12" s="10" t="n">
        <v>0.83</v>
      </c>
      <c r="AJ12" s="10" t="n">
        <v>-35.06</v>
      </c>
      <c r="AK12" s="10" t="n">
        <v>42.7</v>
      </c>
      <c r="AL12" s="10" t="n">
        <v>24.8</v>
      </c>
      <c r="AM12" s="10" t="n">
        <v>30.05</v>
      </c>
      <c r="AN12" s="10" t="n">
        <v>41.07</v>
      </c>
      <c r="AO12" s="10" t="n">
        <v>25.6</v>
      </c>
      <c r="AP12" s="10" t="n">
        <v>0.94</v>
      </c>
      <c r="AQ12" s="10" t="n">
        <v>1.5</v>
      </c>
      <c r="AR12" s="10" t="n">
        <v>300</v>
      </c>
      <c r="AS12" s="16" t="n">
        <v>46275</v>
      </c>
      <c r="AT12" s="15" t="n">
        <v>30837000192</v>
      </c>
      <c r="AU12" s="15" t="n">
        <v>15233000448</v>
      </c>
      <c r="AV12" s="10" t="n">
        <v>49.4</v>
      </c>
      <c r="AW12" s="15" t="n">
        <v>9267000320</v>
      </c>
      <c r="AX12" s="15" t="n">
        <v>3075375104</v>
      </c>
      <c r="AY12" s="10" t="n">
        <v>9.97</v>
      </c>
      <c r="AZ12" s="15" t="n">
        <v>1887000576</v>
      </c>
      <c r="BA12" s="10" t="n">
        <v>181.44</v>
      </c>
      <c r="BB12" s="10" t="n">
        <v>51.1</v>
      </c>
      <c r="BC12" s="17" t="n">
        <f aca="false">IF(AND(ISNUMBER(O12),ISNUMBER(AS12)),O12-AS12,"")</f>
        <v>63</v>
      </c>
      <c r="BD12" s="10" t="n">
        <f aca="false">IF(OR(ISNUMBER(SEARCH("ETF",H12)),AND(F12="",AO12="")),1,0)</f>
        <v>0</v>
      </c>
      <c r="BE12" s="17" t="n">
        <f aca="false">IF(ISNUMBER(L12),IF(L12&gt;=Parameters!$B$3,2,IF(L12&gt;=Parameters!$B$4,1,0)),0)+IF(ISNUMBER(AW12),IF(AW12&gt;0,IF(AND(ISNUMBER(AM12),AM12&gt;=Parameters!$B$5),2,1),0),0)+IF(ISNUMBER(AX12),IF(AND(AX12&gt;0,ISNUMBER(AY12),AY12&gt;=Parameters!$B$6),1,0),0)+IF(ISNUMBER(AO12),IF(AND(AO12&gt;0,AO12&lt;=Parameters!$B$7),1,0),0)+IF(ISNUMBER(F12),IF(F12&gt;=Parameters!$B$8,1,0),0)</f>
        <v>7</v>
      </c>
      <c r="BF12" s="10" t="str">
        <f aca="false">IF(BD12=1,"ETF",IF(OR(AND(ISNUMBER(L12),L12&gt;=Parameters!$B$10),BE12&gt;=Parameters!$B$9),"Established","Early"))</f>
        <v>Established</v>
      </c>
      <c r="BG12" s="10" t="n">
        <f aca="false">IF(LEFT(AH12,6)="Golden",2,IF(LEFT(AH12,5)="Death",-2,0))</f>
        <v>2</v>
      </c>
      <c r="BH12" s="10" t="n">
        <f aca="false">IF(ISNUMBER(AG12),IF(AG12&gt;Parameters!$B$12,2,IF(AG12&gt;0,1,IF(AG12&gt;=Parameters!$B$13,-1,-2))),0)</f>
        <v>2</v>
      </c>
      <c r="BI12" s="10" t="n">
        <f aca="false">IF(ISNUMBER(AF12),IF(AND(AF12&gt;=Parameters!$B$14,AF12&lt;=Parameters!$B$15),1,IF(OR(AF12&gt;Parameters!$B$16,AF12&lt;Parameters!$B$17),-1,0)),0)</f>
        <v>-1</v>
      </c>
      <c r="BJ12" s="10" t="n">
        <f aca="false">IF(ISNUMBER(AE12),IF(AND(AE12&gt;=Parameters!$B$18,AE12&lt;=Parameters!$B$19),1,IF(OR(AE12&gt;Parameters!$B$20,AE12&lt;Parameters!$B$21),-1,0)),0)</f>
        <v>0</v>
      </c>
      <c r="BK12" s="10" t="n">
        <f aca="false">IF(ISNUMBER(E12),IF(E12&gt;Parameters!$B$22,1,IF(E12&lt;Parameters!$B$23,-1,0)),0)</f>
        <v>0</v>
      </c>
      <c r="BL12" s="10" t="n">
        <f aca="false">IF(ISNUMBER(C12),IF(C12&gt;=Parameters!$B$24,1,IF(C12&lt;=Parameters!$B$25,-1,0)),0)</f>
        <v>0</v>
      </c>
      <c r="BM12" s="10" t="n">
        <f aca="false">IF(ISNUMBER(AJ12),IF(AND(AJ12&gt;Parameters!$B$26,ISNUMBER(U12)),IF(U12&lt;0,-1,1),0),0)</f>
        <v>0</v>
      </c>
      <c r="BN12" s="10" t="n">
        <f aca="false">IF(ISNUMBER(AD12),IF(AD12&gt;Parameters!$B$27,1,IF(AD12&lt;Parameters!$B$28,-1,0)),0)</f>
        <v>-1</v>
      </c>
      <c r="BO12" s="17" t="n">
        <f aca="false">BG12+BH12+BI12+BJ12+BK12+BL12+BM12+BN12</f>
        <v>2</v>
      </c>
      <c r="BP12" s="10" t="n">
        <f aca="false">IF(ISNUMBER(F12),IF(F12&gt;=Parameters!$B$30,2,IF(F12&gt;=Parameters!$B$31,1,IF(F12&lt;=Parameters!$B$32,-1,0))),0)</f>
        <v>2</v>
      </c>
      <c r="BQ12" s="10" t="n">
        <f aca="false">IF(ISNUMBER(AK12),IF(AK12&gt;Parameters!$B$33,1,IF(AK12&lt;0,-1,0)),0)</f>
        <v>1</v>
      </c>
      <c r="BR12" s="10" t="n">
        <f aca="false">IF(ISNUMBER(AL12),IF(AL12&gt;Parameters!$B$34,1,IF(AL12&lt;0,-1,0)),0)</f>
        <v>1</v>
      </c>
      <c r="BS12" s="10" t="n">
        <f aca="false">IF(ISNUMBER(AP12),IF(AND(AP12&gt;0,AP12&lt;=Parameters!$B$35),1,IF(AP12&gt;Parameters!$B$36,-1,0)),0)</f>
        <v>1</v>
      </c>
      <c r="BT12" s="10" t="n">
        <f aca="false">IF(ISNUMBER(AY12),IF(AY12&gt;Parameters!$B$37,1,IF(AY12&lt;0,-1,0)),0)</f>
        <v>0</v>
      </c>
      <c r="BU12" s="10" t="n">
        <f aca="false">IF(ISNUMBER(AZ12),IF(AZ12&gt;0,1,0),0)</f>
        <v>1</v>
      </c>
      <c r="BV12" s="10" t="n">
        <f aca="false">IF(ISNUMBER(AL12),IF(AL12&gt;Parameters!$B$39,2,IF(AL12&gt;Parameters!$B$40,1,IF(AL12&lt;0,-2,IF(AL12&lt;Parameters!$B$41,-1,0)))),0)</f>
        <v>1</v>
      </c>
      <c r="BW12" s="10" t="n">
        <f aca="false">IF(ISNUMBER(AV12),IF(AV12&gt;Parameters!$B$42,1,IF(AV12&lt;Parameters!$B$43,-1,0)),0)</f>
        <v>0</v>
      </c>
      <c r="BX12" s="10" t="n">
        <f aca="false">IF(AND(ISNUMBER(AX12),AX12&gt;0),1,IF(AND(ISNUMBER(AY12),AY12&lt;Parameters!$B$44),-1,0))</f>
        <v>1</v>
      </c>
      <c r="BY12" s="10" t="n">
        <f aca="false">IF(ISNUMBER(AW12),IF(AW12&gt;0,1,0),0)</f>
        <v>1</v>
      </c>
      <c r="BZ12" s="10" t="n">
        <f aca="false">IF(ISNUMBER(AQ12),IF(AQ12&gt;Parameters!$B$46,-2,IF(AQ12&gt;Parameters!$B$45,-1,0)),0)</f>
        <v>0</v>
      </c>
      <c r="CA12" s="10" t="n">
        <f aca="false">IF(ISNUMBER(F12),IF(F12&gt;=Parameters!$B$47,1,IF(F12&lt;=Parameters!$B$48,-1,0)),0)</f>
        <v>1</v>
      </c>
      <c r="CB12" s="17" t="n">
        <f aca="false">IF(BF12="Established",BP12+BQ12+BR12+BS12+BT12+BU12,IF(BF12="Early",BV12+BW12+BX12+BY12+BZ12+CA12,0))</f>
        <v>6</v>
      </c>
      <c r="CC12" s="18" t="n">
        <f aca="false">IF(BF12="Established",BO12+CB12,IF(BF12="Early",BO12+Parameters!$B$50*CB12,BO12))</f>
        <v>8</v>
      </c>
      <c r="CD12" s="17" t="n">
        <f aca="false">IF(BF12="Established",IF(CC12&gt;=Parameters!$B$51,6,IF(CC12&gt;=Parameters!$B$52,5,IF(CC12&gt;=Parameters!$B$53,4,IF(CC12&gt;=Parameters!$B$54,3,IF(CC12&gt;=Parameters!$B$55,2,1))))),IF(BF12="Early",IF(CC12&gt;=Parameters!$B$56,5,IF(CC12&gt;=Parameters!$B$57,4,IF(CC12&gt;=Parameters!$B$58,3,IF(CC12&gt;=Parameters!$B$59,2,1)))),IF(CC12&gt;=Parameters!$B$60,6,IF(CC12&gt;=Parameters!$B$61,5,IF(CC12&gt;=Parameters!$B$62,4,IF(CC12&gt;=Parameters!$B$63,3,IF(CC12&gt;=Parameters!$B$64,2,1)))))))</f>
        <v>4</v>
      </c>
      <c r="CE12" s="10" t="n">
        <f aca="false">IF(AND(ISNUMBER(AR12),AR12&lt;Parameters!$B$66),1,0)</f>
        <v>0</v>
      </c>
      <c r="CF12" s="10" t="n">
        <f aca="false">IF(AND(LEFT(AH12,5)="Death",ISNUMBER(AG12)),IF(BF12="Early",IF(AND(AG12&lt;Parameters!$B$70,ISNUMBER(U12),U12&lt;Parameters!$B$71),1,0),IF(AND(AG12&lt;Parameters!$B$67,OR(AND(ISNUMBER(U12),U12&lt;Parameters!$B$68),AND(ISNUMBER(V12),V12&lt;Parameters!$B$69))),1,0)),0)</f>
        <v>0</v>
      </c>
      <c r="CG12" s="10" t="n">
        <f aca="false">IF(AND(ISNUMBER(AG12),AG12&lt;0),1,0)</f>
        <v>0</v>
      </c>
      <c r="CH12" s="10" t="n">
        <f aca="false">IF(OR(AND(ISNUMBER(U12),U12&gt;Parameters!$B$74),AND(ISNUMBER(AF12),AF12&gt;Parameters!$B$75),AND(ISNUMBER(AE12),AE12&gt;Parameters!$B$76)),1,0)</f>
        <v>0</v>
      </c>
      <c r="CI12" s="10" t="n">
        <f aca="false">IF(AND(ISNUMBER(BC12),BC12&gt;=0,BC12&lt;=Parameters!$B$77),1,0)</f>
        <v>0</v>
      </c>
      <c r="CJ12" s="17" t="n">
        <f aca="false">IF(CF12=1,1,MIN(CD12,IF(CE12=1,3,6),IF(CG12=1,IF(BF12="Early",Parameters!$B$73,Parameters!$B$72),6),IF(CH12=1,3,6),IF(CI12=1,3,6)))</f>
        <v>4</v>
      </c>
      <c r="CK12" s="10" t="str">
        <f aca="false">INDEX(Parameters!$F$2:$F$7,CJ12)</f>
        <v>Buy with Risk</v>
      </c>
      <c r="CL12" s="10" t="str">
        <f aca="false">IF(CF12=1,"Hard sell: breakdown; ","")&amp;IF(CE12=1,"Insufficient history; ","")&amp;IF(AND(CF12=0,CG12=1),"Below 200D; ","")&amp;IF(CH12=1,"Extended - wait for pullback; ","")&amp;IF(CI12=1,"Earnings within "&amp;Parameters!$B$77&amp;"d; ","")</f>
        <v/>
      </c>
    </row>
    <row r="13" customFormat="false" ht="15" hidden="false" customHeight="false" outlineLevel="0" collapsed="false">
      <c r="A13" s="10" t="s">
        <v>326</v>
      </c>
      <c r="B13" s="10" t="n">
        <v>7</v>
      </c>
      <c r="C13" s="10" t="n">
        <v>7</v>
      </c>
      <c r="D13" s="10" t="n">
        <v>61.6</v>
      </c>
      <c r="E13" s="10" t="n">
        <v>1.3</v>
      </c>
      <c r="F13" s="10" t="n">
        <v>9</v>
      </c>
      <c r="G13" s="10" t="s">
        <v>327</v>
      </c>
      <c r="H13" s="10" t="s">
        <v>328</v>
      </c>
      <c r="I13" s="10" t="n">
        <v>323.55</v>
      </c>
      <c r="J13" s="10" t="s">
        <v>295</v>
      </c>
      <c r="K13" s="10" t="s">
        <v>296</v>
      </c>
      <c r="L13" s="15" t="n">
        <v>4602128721200</v>
      </c>
      <c r="M13" s="16" t="n">
        <v>46233</v>
      </c>
      <c r="N13" s="10" t="n">
        <v>6.88</v>
      </c>
      <c r="O13" s="16" t="n">
        <v>46324</v>
      </c>
      <c r="P13" s="10" t="s">
        <v>297</v>
      </c>
      <c r="Q13" s="10" t="n">
        <v>2.6</v>
      </c>
      <c r="R13" s="10" t="n">
        <v>-0.28</v>
      </c>
      <c r="S13" s="10" t="n">
        <v>-0.43</v>
      </c>
      <c r="T13" s="10" t="n">
        <v>3.22</v>
      </c>
      <c r="U13" s="10" t="n">
        <v>6.11</v>
      </c>
      <c r="V13" s="10" t="n">
        <v>10.96</v>
      </c>
      <c r="W13" s="10" t="n">
        <v>24.06</v>
      </c>
      <c r="X13" s="10" t="n">
        <v>38.06</v>
      </c>
      <c r="Y13" s="10"/>
      <c r="Z13" s="10"/>
      <c r="AA13" s="10"/>
      <c r="AB13" s="10"/>
      <c r="AC13" s="10" t="n">
        <v>6.32</v>
      </c>
      <c r="AD13" s="10" t="n">
        <v>-6.1</v>
      </c>
      <c r="AE13" s="10" t="n">
        <v>56.73</v>
      </c>
      <c r="AF13" s="10" t="n">
        <v>2.02</v>
      </c>
      <c r="AG13" s="10" t="n">
        <v>13.67</v>
      </c>
      <c r="AH13" s="10" t="s">
        <v>301</v>
      </c>
      <c r="AI13" s="10" t="n">
        <v>0.6</v>
      </c>
      <c r="AJ13" s="10" t="n">
        <v>-7.18</v>
      </c>
      <c r="AK13" s="10" t="n">
        <v>27.1</v>
      </c>
      <c r="AL13" s="10" t="n">
        <v>16.4</v>
      </c>
      <c r="AM13" s="10" t="n">
        <v>27.62</v>
      </c>
      <c r="AN13" s="10" t="n">
        <v>148.75</v>
      </c>
      <c r="AO13" s="10" t="n">
        <v>32.92</v>
      </c>
      <c r="AP13" s="10" t="n">
        <v>1.23</v>
      </c>
      <c r="AQ13" s="10" t="n">
        <v>0.8</v>
      </c>
      <c r="AR13" s="10" t="n">
        <v>300</v>
      </c>
      <c r="AS13" s="16" t="n">
        <v>46275</v>
      </c>
      <c r="AT13" s="15" t="n">
        <v>466822987776</v>
      </c>
      <c r="AU13" s="15" t="n">
        <v>227123003392</v>
      </c>
      <c r="AV13" s="10" t="n">
        <v>48.65</v>
      </c>
      <c r="AW13" s="15" t="n">
        <v>128929996800</v>
      </c>
      <c r="AX13" s="15" t="n">
        <v>107721875456</v>
      </c>
      <c r="AY13" s="10" t="n">
        <v>23.08</v>
      </c>
      <c r="AZ13" s="15" t="n">
        <v>-21944995840</v>
      </c>
      <c r="BA13" s="10" t="n">
        <v>43.2</v>
      </c>
      <c r="BB13" s="10" t="n">
        <v>82.28</v>
      </c>
      <c r="BC13" s="17" t="n">
        <f aca="false">IF(AND(ISNUMBER(O13),ISNUMBER(AS13)),O13-AS13,"")</f>
        <v>49</v>
      </c>
      <c r="BD13" s="10" t="n">
        <f aca="false">IF(OR(ISNUMBER(SEARCH("ETF",H13)),AND(F13="",AO13="")),1,0)</f>
        <v>0</v>
      </c>
      <c r="BE13" s="17" t="n">
        <f aca="false">IF(ISNUMBER(L13),IF(L13&gt;=Parameters!$B$3,2,IF(L13&gt;=Parameters!$B$4,1,0)),0)+IF(ISNUMBER(AW13),IF(AW13&gt;0,IF(AND(ISNUMBER(AM13),AM13&gt;=Parameters!$B$5),2,1),0),0)+IF(ISNUMBER(AX13),IF(AND(AX13&gt;0,ISNUMBER(AY13),AY13&gt;=Parameters!$B$6),1,0),0)+IF(ISNUMBER(AO13),IF(AND(AO13&gt;0,AO13&lt;=Parameters!$B$7),1,0),0)+IF(ISNUMBER(F13),IF(F13&gt;=Parameters!$B$8,1,0),0)</f>
        <v>7</v>
      </c>
      <c r="BF13" s="10" t="str">
        <f aca="false">IF(BD13=1,"ETF",IF(OR(AND(ISNUMBER(L13),L13&gt;=Parameters!$B$10),BE13&gt;=Parameters!$B$9),"Established","Early"))</f>
        <v>Established</v>
      </c>
      <c r="BG13" s="10" t="n">
        <f aca="false">IF(LEFT(AH13,6)="Golden",2,IF(LEFT(AH13,5)="Death",-2,0))</f>
        <v>2</v>
      </c>
      <c r="BH13" s="10" t="n">
        <f aca="false">IF(ISNUMBER(AG13),IF(AG13&gt;Parameters!$B$12,2,IF(AG13&gt;0,1,IF(AG13&gt;=Parameters!$B$13,-1,-2))),0)</f>
        <v>2</v>
      </c>
      <c r="BI13" s="10" t="n">
        <f aca="false">IF(ISNUMBER(AF13),IF(AND(AF13&gt;=Parameters!$B$14,AF13&lt;=Parameters!$B$15),1,IF(OR(AF13&gt;Parameters!$B$16,AF13&lt;Parameters!$B$17),-1,0)),0)</f>
        <v>1</v>
      </c>
      <c r="BJ13" s="10" t="n">
        <f aca="false">IF(ISNUMBER(AE13),IF(AND(AE13&gt;=Parameters!$B$18,AE13&lt;=Parameters!$B$19),1,IF(OR(AE13&gt;Parameters!$B$20,AE13&lt;Parameters!$B$21),-1,0)),0)</f>
        <v>1</v>
      </c>
      <c r="BK13" s="10" t="n">
        <f aca="false">IF(ISNUMBER(E13),IF(E13&gt;Parameters!$B$22,1,IF(E13&lt;Parameters!$B$23,-1,0)),0)</f>
        <v>0</v>
      </c>
      <c r="BL13" s="10" t="n">
        <f aca="false">IF(ISNUMBER(C13),IF(C13&gt;=Parameters!$B$24,1,IF(C13&lt;=Parameters!$B$25,-1,0)),0)</f>
        <v>1</v>
      </c>
      <c r="BM13" s="10" t="n">
        <f aca="false">IF(ISNUMBER(AJ13),IF(AND(AJ13&gt;Parameters!$B$26,ISNUMBER(U13)),IF(U13&lt;0,-1,1),0),0)</f>
        <v>0</v>
      </c>
      <c r="BN13" s="10" t="n">
        <f aca="false">IF(ISNUMBER(AD13),IF(AD13&gt;Parameters!$B$27,1,IF(AD13&lt;Parameters!$B$28,-1,0)),0)</f>
        <v>1</v>
      </c>
      <c r="BO13" s="17" t="n">
        <f aca="false">BG13+BH13+BI13+BJ13+BK13+BL13+BM13+BN13</f>
        <v>8</v>
      </c>
      <c r="BP13" s="10" t="n">
        <f aca="false">IF(ISNUMBER(F13),IF(F13&gt;=Parameters!$B$30,2,IF(F13&gt;=Parameters!$B$31,1,IF(F13&lt;=Parameters!$B$32,-1,0))),0)</f>
        <v>2</v>
      </c>
      <c r="BQ13" s="10" t="n">
        <f aca="false">IF(ISNUMBER(AK13),IF(AK13&gt;Parameters!$B$33,1,IF(AK13&lt;0,-1,0)),0)</f>
        <v>1</v>
      </c>
      <c r="BR13" s="10" t="n">
        <f aca="false">IF(ISNUMBER(AL13),IF(AL13&gt;Parameters!$B$34,1,IF(AL13&lt;0,-1,0)),0)</f>
        <v>1</v>
      </c>
      <c r="BS13" s="10" t="n">
        <f aca="false">IF(ISNUMBER(AP13),IF(AND(AP13&gt;0,AP13&lt;=Parameters!$B$35),1,IF(AP13&gt;Parameters!$B$36,-1,0)),0)</f>
        <v>1</v>
      </c>
      <c r="BT13" s="10" t="n">
        <f aca="false">IF(ISNUMBER(AY13),IF(AY13&gt;Parameters!$B$37,1,IF(AY13&lt;0,-1,0)),0)</f>
        <v>1</v>
      </c>
      <c r="BU13" s="10" t="n">
        <f aca="false">IF(ISNUMBER(AZ13),IF(AZ13&gt;0,1,0),0)</f>
        <v>0</v>
      </c>
      <c r="BV13" s="10" t="n">
        <f aca="false">IF(ISNUMBER(AL13),IF(AL13&gt;Parameters!$B$39,2,IF(AL13&gt;Parameters!$B$40,1,IF(AL13&lt;0,-2,IF(AL13&lt;Parameters!$B$41,-1,0)))),0)</f>
        <v>1</v>
      </c>
      <c r="BW13" s="10" t="n">
        <f aca="false">IF(ISNUMBER(AV13),IF(AV13&gt;Parameters!$B$42,1,IF(AV13&lt;Parameters!$B$43,-1,0)),0)</f>
        <v>0</v>
      </c>
      <c r="BX13" s="10" t="n">
        <f aca="false">IF(AND(ISNUMBER(AX13),AX13&gt;0),1,IF(AND(ISNUMBER(AY13),AY13&lt;Parameters!$B$44),-1,0))</f>
        <v>1</v>
      </c>
      <c r="BY13" s="10" t="n">
        <f aca="false">IF(ISNUMBER(AW13),IF(AW13&gt;0,1,0),0)</f>
        <v>1</v>
      </c>
      <c r="BZ13" s="10" t="n">
        <f aca="false">IF(ISNUMBER(AQ13),IF(AQ13&gt;Parameters!$B$46,-2,IF(AQ13&gt;Parameters!$B$45,-1,0)),0)</f>
        <v>0</v>
      </c>
      <c r="CA13" s="10" t="n">
        <f aca="false">IF(ISNUMBER(F13),IF(F13&gt;=Parameters!$B$47,1,IF(F13&lt;=Parameters!$B$48,-1,0)),0)</f>
        <v>1</v>
      </c>
      <c r="CB13" s="17" t="n">
        <f aca="false">IF(BF13="Established",BP13+BQ13+BR13+BS13+BT13+BU13,IF(BF13="Early",BV13+BW13+BX13+BY13+BZ13+CA13,0))</f>
        <v>6</v>
      </c>
      <c r="CC13" s="18" t="n">
        <f aca="false">IF(BF13="Established",BO13+CB13,IF(BF13="Early",BO13+Parameters!$B$50*CB13,BO13))</f>
        <v>14</v>
      </c>
      <c r="CD13" s="17" t="n">
        <f aca="false">IF(BF13="Established",IF(CC13&gt;=Parameters!$B$51,6,IF(CC13&gt;=Parameters!$B$52,5,IF(CC13&gt;=Parameters!$B$53,4,IF(CC13&gt;=Parameters!$B$54,3,IF(CC13&gt;=Parameters!$B$55,2,1))))),IF(BF13="Early",IF(CC13&gt;=Parameters!$B$56,5,IF(CC13&gt;=Parameters!$B$57,4,IF(CC13&gt;=Parameters!$B$58,3,IF(CC13&gt;=Parameters!$B$59,2,1)))),IF(CC13&gt;=Parameters!$B$60,6,IF(CC13&gt;=Parameters!$B$61,5,IF(CC13&gt;=Parameters!$B$62,4,IF(CC13&gt;=Parameters!$B$63,3,IF(CC13&gt;=Parameters!$B$64,2,1)))))))</f>
        <v>6</v>
      </c>
      <c r="CE13" s="10" t="n">
        <f aca="false">IF(AND(ISNUMBER(AR13),AR13&lt;Parameters!$B$66),1,0)</f>
        <v>0</v>
      </c>
      <c r="CF13" s="10" t="n">
        <f aca="false">IF(AND(LEFT(AH13,5)="Death",ISNUMBER(AG13)),IF(BF13="Early",IF(AND(AG13&lt;Parameters!$B$70,ISNUMBER(U13),U13&lt;Parameters!$B$71),1,0),IF(AND(AG13&lt;Parameters!$B$67,OR(AND(ISNUMBER(U13),U13&lt;Parameters!$B$68),AND(ISNUMBER(V13),V13&lt;Parameters!$B$69))),1,0)),0)</f>
        <v>0</v>
      </c>
      <c r="CG13" s="10" t="n">
        <f aca="false">IF(AND(ISNUMBER(AG13),AG13&lt;0),1,0)</f>
        <v>0</v>
      </c>
      <c r="CH13" s="10" t="n">
        <f aca="false">IF(OR(AND(ISNUMBER(U13),U13&gt;Parameters!$B$74),AND(ISNUMBER(AF13),AF13&gt;Parameters!$B$75),AND(ISNUMBER(AE13),AE13&gt;Parameters!$B$76)),1,0)</f>
        <v>0</v>
      </c>
      <c r="CI13" s="10" t="n">
        <f aca="false">IF(AND(ISNUMBER(BC13),BC13&gt;=0,BC13&lt;=Parameters!$B$77),1,0)</f>
        <v>0</v>
      </c>
      <c r="CJ13" s="17" t="n">
        <f aca="false">IF(CF13=1,1,MIN(CD13,IF(CE13=1,3,6),IF(CG13=1,IF(BF13="Early",Parameters!$B$73,Parameters!$B$72),6),IF(CH13=1,3,6),IF(CI13=1,3,6)))</f>
        <v>6</v>
      </c>
      <c r="CK13" s="10" t="str">
        <f aca="false">INDEX(Parameters!$F$2:$F$7,CJ13)</f>
        <v>Strong Buy</v>
      </c>
      <c r="CL13" s="10" t="str">
        <f aca="false">IF(CF13=1,"Hard sell: breakdown; ","")&amp;IF(CE13=1,"Insufficient history; ","")&amp;IF(AND(CF13=0,CG13=1),"Below 200D; ","")&amp;IF(CH13=1,"Extended - wait for pullback; ","")&amp;IF(CI13=1,"Earnings within "&amp;Parameters!$B$77&amp;"d; ","")</f>
        <v/>
      </c>
    </row>
    <row r="14" customFormat="false" ht="15" hidden="false" customHeight="false" outlineLevel="0" collapsed="false">
      <c r="A14" s="10" t="s">
        <v>329</v>
      </c>
      <c r="B14" s="10" t="n">
        <v>7</v>
      </c>
      <c r="C14" s="10" t="n">
        <v>6</v>
      </c>
      <c r="D14" s="10" t="n">
        <v>51.6</v>
      </c>
      <c r="E14" s="10" t="n">
        <v>3.2</v>
      </c>
      <c r="F14" s="10" t="n">
        <v>10</v>
      </c>
      <c r="G14" s="10" t="s">
        <v>330</v>
      </c>
      <c r="H14" s="10" t="s">
        <v>294</v>
      </c>
      <c r="I14" s="10" t="n">
        <v>269000</v>
      </c>
      <c r="J14" s="10" t="s">
        <v>331</v>
      </c>
      <c r="K14" s="10" t="s">
        <v>296</v>
      </c>
      <c r="L14" s="15" t="n">
        <v>1769688757067000</v>
      </c>
      <c r="M14" s="16" t="n">
        <v>46233</v>
      </c>
      <c r="N14" s="10" t="n">
        <v>-1.66</v>
      </c>
      <c r="O14" s="16" t="n">
        <v>46324</v>
      </c>
      <c r="P14" s="10" t="s">
        <v>297</v>
      </c>
      <c r="Q14" s="10" t="n">
        <v>-0.19</v>
      </c>
      <c r="R14" s="10" t="n">
        <v>0</v>
      </c>
      <c r="S14" s="10" t="n">
        <v>7.6</v>
      </c>
      <c r="T14" s="10" t="n">
        <v>1.13</v>
      </c>
      <c r="U14" s="10" t="n">
        <v>12.32</v>
      </c>
      <c r="V14" s="10" t="n">
        <v>-10.03</v>
      </c>
      <c r="W14" s="10" t="n">
        <v>43.16</v>
      </c>
      <c r="X14" s="10" t="n">
        <v>286.49</v>
      </c>
      <c r="Y14" s="10"/>
      <c r="Z14" s="10"/>
      <c r="AA14" s="10"/>
      <c r="AB14" s="10"/>
      <c r="AC14" s="10" t="n">
        <v>-14.67</v>
      </c>
      <c r="AD14" s="10" t="n">
        <v>-28.17</v>
      </c>
      <c r="AE14" s="10" t="n">
        <v>53.71</v>
      </c>
      <c r="AF14" s="10" t="n">
        <v>3.24</v>
      </c>
      <c r="AG14" s="10" t="n">
        <v>25.04</v>
      </c>
      <c r="AH14" s="10" t="s">
        <v>301</v>
      </c>
      <c r="AI14" s="10" t="n">
        <v>1718.52</v>
      </c>
      <c r="AJ14" s="10" t="n">
        <v>-4.42</v>
      </c>
      <c r="AK14" s="10" t="n">
        <v>1344.4</v>
      </c>
      <c r="AL14" s="10" t="n">
        <v>130</v>
      </c>
      <c r="AM14" s="10" t="n">
        <v>30.84</v>
      </c>
      <c r="AN14" s="10" t="n">
        <v>30.79</v>
      </c>
      <c r="AO14" s="10" t="n">
        <v>3.91</v>
      </c>
      <c r="AP14" s="10" t="n">
        <v>0.03</v>
      </c>
      <c r="AQ14" s="10"/>
      <c r="AR14" s="10" t="n">
        <v>300</v>
      </c>
      <c r="AS14" s="16" t="n">
        <v>46275</v>
      </c>
      <c r="AT14" s="15" t="n">
        <v>485272047321088</v>
      </c>
      <c r="AU14" s="15" t="n">
        <v>278956985024512</v>
      </c>
      <c r="AV14" s="10" t="n">
        <v>57.48</v>
      </c>
      <c r="AW14" s="15" t="n">
        <v>149669174837248</v>
      </c>
      <c r="AX14" s="15" t="n">
        <v>69550825537536</v>
      </c>
      <c r="AY14" s="10" t="n">
        <v>14.33</v>
      </c>
      <c r="AZ14" s="15" t="n">
        <v>167590313852928</v>
      </c>
      <c r="BA14" s="10" t="n">
        <v>298.52</v>
      </c>
      <c r="BB14" s="10" t="n">
        <v>65.64</v>
      </c>
      <c r="BC14" s="17" t="n">
        <f aca="false">IF(AND(ISNUMBER(O14),ISNUMBER(AS14)),O14-AS14,"")</f>
        <v>49</v>
      </c>
      <c r="BD14" s="10" t="n">
        <f aca="false">IF(OR(ISNUMBER(SEARCH("ETF",H14)),AND(F14="",AO14="")),1,0)</f>
        <v>0</v>
      </c>
      <c r="BE14" s="17" t="n">
        <f aca="false">IF(ISNUMBER(L14),IF(L14&gt;=Parameters!$B$3,2,IF(L14&gt;=Parameters!$B$4,1,0)),0)+IF(ISNUMBER(AW14),IF(AW14&gt;0,IF(AND(ISNUMBER(AM14),AM14&gt;=Parameters!$B$5),2,1),0),0)+IF(ISNUMBER(AX14),IF(AND(AX14&gt;0,ISNUMBER(AY14),AY14&gt;=Parameters!$B$6),1,0),0)+IF(ISNUMBER(AO14),IF(AND(AO14&gt;0,AO14&lt;=Parameters!$B$7),1,0),0)+IF(ISNUMBER(F14),IF(F14&gt;=Parameters!$B$8,1,0),0)</f>
        <v>7</v>
      </c>
      <c r="BF14" s="10" t="str">
        <f aca="false">IF(BD14=1,"ETF",IF(OR(AND(ISNUMBER(L14),L14&gt;=Parameters!$B$10),BE14&gt;=Parameters!$B$9),"Established","Early"))</f>
        <v>Established</v>
      </c>
      <c r="BG14" s="10" t="n">
        <f aca="false">IF(LEFT(AH14,6)="Golden",2,IF(LEFT(AH14,5)="Death",-2,0))</f>
        <v>2</v>
      </c>
      <c r="BH14" s="10" t="n">
        <f aca="false">IF(ISNUMBER(AG14),IF(AG14&gt;Parameters!$B$12,2,IF(AG14&gt;0,1,IF(AG14&gt;=Parameters!$B$13,-1,-2))),0)</f>
        <v>2</v>
      </c>
      <c r="BI14" s="10" t="n">
        <f aca="false">IF(ISNUMBER(AF14),IF(AND(AF14&gt;=Parameters!$B$14,AF14&lt;=Parameters!$B$15),1,IF(OR(AF14&gt;Parameters!$B$16,AF14&lt;Parameters!$B$17),-1,0)),0)</f>
        <v>1</v>
      </c>
      <c r="BJ14" s="10" t="n">
        <f aca="false">IF(ISNUMBER(AE14),IF(AND(AE14&gt;=Parameters!$B$18,AE14&lt;=Parameters!$B$19),1,IF(OR(AE14&gt;Parameters!$B$20,AE14&lt;Parameters!$B$21),-1,0)),0)</f>
        <v>1</v>
      </c>
      <c r="BK14" s="10" t="n">
        <f aca="false">IF(ISNUMBER(E14),IF(E14&gt;Parameters!$B$22,1,IF(E14&lt;Parameters!$B$23,-1,0)),0)</f>
        <v>1</v>
      </c>
      <c r="BL14" s="10" t="n">
        <f aca="false">IF(ISNUMBER(C14),IF(C14&gt;=Parameters!$B$24,1,IF(C14&lt;=Parameters!$B$25,-1,0)),0)</f>
        <v>0</v>
      </c>
      <c r="BM14" s="10" t="n">
        <f aca="false">IF(ISNUMBER(AJ14),IF(AND(AJ14&gt;Parameters!$B$26,ISNUMBER(U14)),IF(U14&lt;0,-1,1),0),0)</f>
        <v>0</v>
      </c>
      <c r="BN14" s="10" t="n">
        <f aca="false">IF(ISNUMBER(AD14),IF(AD14&gt;Parameters!$B$27,1,IF(AD14&lt;Parameters!$B$28,-1,0)),0)</f>
        <v>0</v>
      </c>
      <c r="BO14" s="17" t="n">
        <f aca="false">BG14+BH14+BI14+BJ14+BK14+BL14+BM14+BN14</f>
        <v>7</v>
      </c>
      <c r="BP14" s="10" t="n">
        <f aca="false">IF(ISNUMBER(F14),IF(F14&gt;=Parameters!$B$30,2,IF(F14&gt;=Parameters!$B$31,1,IF(F14&lt;=Parameters!$B$32,-1,0))),0)</f>
        <v>2</v>
      </c>
      <c r="BQ14" s="10" t="n">
        <f aca="false">IF(ISNUMBER(AK14),IF(AK14&gt;Parameters!$B$33,1,IF(AK14&lt;0,-1,0)),0)</f>
        <v>1</v>
      </c>
      <c r="BR14" s="10" t="n">
        <f aca="false">IF(ISNUMBER(AL14),IF(AL14&gt;Parameters!$B$34,1,IF(AL14&lt;0,-1,0)),0)</f>
        <v>1</v>
      </c>
      <c r="BS14" s="10" t="n">
        <f aca="false">IF(ISNUMBER(AP14),IF(AND(AP14&gt;0,AP14&lt;=Parameters!$B$35),1,IF(AP14&gt;Parameters!$B$36,-1,0)),0)</f>
        <v>1</v>
      </c>
      <c r="BT14" s="10" t="n">
        <f aca="false">IF(ISNUMBER(AY14),IF(AY14&gt;Parameters!$B$37,1,IF(AY14&lt;0,-1,0)),0)</f>
        <v>1</v>
      </c>
      <c r="BU14" s="10" t="n">
        <f aca="false">IF(ISNUMBER(AZ14),IF(AZ14&gt;0,1,0),0)</f>
        <v>1</v>
      </c>
      <c r="BV14" s="10" t="n">
        <f aca="false">IF(ISNUMBER(AL14),IF(AL14&gt;Parameters!$B$39,2,IF(AL14&gt;Parameters!$B$40,1,IF(AL14&lt;0,-2,IF(AL14&lt;Parameters!$B$41,-1,0)))),0)</f>
        <v>2</v>
      </c>
      <c r="BW14" s="10" t="n">
        <f aca="false">IF(ISNUMBER(AV14),IF(AV14&gt;Parameters!$B$42,1,IF(AV14&lt;Parameters!$B$43,-1,0)),0)</f>
        <v>1</v>
      </c>
      <c r="BX14" s="10" t="n">
        <f aca="false">IF(AND(ISNUMBER(AX14),AX14&gt;0),1,IF(AND(ISNUMBER(AY14),AY14&lt;Parameters!$B$44),-1,0))</f>
        <v>1</v>
      </c>
      <c r="BY14" s="10" t="n">
        <f aca="false">IF(ISNUMBER(AW14),IF(AW14&gt;0,1,0),0)</f>
        <v>1</v>
      </c>
      <c r="BZ14" s="10" t="n">
        <f aca="false">IF(ISNUMBER(AQ14),IF(AQ14&gt;Parameters!$B$46,-2,IF(AQ14&gt;Parameters!$B$45,-1,0)),0)</f>
        <v>0</v>
      </c>
      <c r="CA14" s="10" t="n">
        <f aca="false">IF(ISNUMBER(F14),IF(F14&gt;=Parameters!$B$47,1,IF(F14&lt;=Parameters!$B$48,-1,0)),0)</f>
        <v>1</v>
      </c>
      <c r="CB14" s="17" t="n">
        <f aca="false">IF(BF14="Established",BP14+BQ14+BR14+BS14+BT14+BU14,IF(BF14="Early",BV14+BW14+BX14+BY14+BZ14+CA14,0))</f>
        <v>7</v>
      </c>
      <c r="CC14" s="18" t="n">
        <f aca="false">IF(BF14="Established",BO14+CB14,IF(BF14="Early",BO14+Parameters!$B$50*CB14,BO14))</f>
        <v>14</v>
      </c>
      <c r="CD14" s="17" t="n">
        <f aca="false">IF(BF14="Established",IF(CC14&gt;=Parameters!$B$51,6,IF(CC14&gt;=Parameters!$B$52,5,IF(CC14&gt;=Parameters!$B$53,4,IF(CC14&gt;=Parameters!$B$54,3,IF(CC14&gt;=Parameters!$B$55,2,1))))),IF(BF14="Early",IF(CC14&gt;=Parameters!$B$56,5,IF(CC14&gt;=Parameters!$B$57,4,IF(CC14&gt;=Parameters!$B$58,3,IF(CC14&gt;=Parameters!$B$59,2,1)))),IF(CC14&gt;=Parameters!$B$60,6,IF(CC14&gt;=Parameters!$B$61,5,IF(CC14&gt;=Parameters!$B$62,4,IF(CC14&gt;=Parameters!$B$63,3,IF(CC14&gt;=Parameters!$B$64,2,1)))))))</f>
        <v>6</v>
      </c>
      <c r="CE14" s="10" t="n">
        <f aca="false">IF(AND(ISNUMBER(AR14),AR14&lt;Parameters!$B$66),1,0)</f>
        <v>0</v>
      </c>
      <c r="CF14" s="10" t="n">
        <f aca="false">IF(AND(LEFT(AH14,5)="Death",ISNUMBER(AG14)),IF(BF14="Early",IF(AND(AG14&lt;Parameters!$B$70,ISNUMBER(U14),U14&lt;Parameters!$B$71),1,0),IF(AND(AG14&lt;Parameters!$B$67,OR(AND(ISNUMBER(U14),U14&lt;Parameters!$B$68),AND(ISNUMBER(V14),V14&lt;Parameters!$B$69))),1,0)),0)</f>
        <v>0</v>
      </c>
      <c r="CG14" s="10" t="n">
        <f aca="false">IF(AND(ISNUMBER(AG14),AG14&lt;0),1,0)</f>
        <v>0</v>
      </c>
      <c r="CH14" s="10" t="n">
        <f aca="false">IF(OR(AND(ISNUMBER(U14),U14&gt;Parameters!$B$74),AND(ISNUMBER(AF14),AF14&gt;Parameters!$B$75),AND(ISNUMBER(AE14),AE14&gt;Parameters!$B$76)),1,0)</f>
        <v>0</v>
      </c>
      <c r="CI14" s="10" t="n">
        <f aca="false">IF(AND(ISNUMBER(BC14),BC14&gt;=0,BC14&lt;=Parameters!$B$77),1,0)</f>
        <v>0</v>
      </c>
      <c r="CJ14" s="17" t="n">
        <f aca="false">IF(CF14=1,1,MIN(CD14,IF(CE14=1,3,6),IF(CG14=1,IF(BF14="Early",Parameters!$B$73,Parameters!$B$72),6),IF(CH14=1,3,6),IF(CI14=1,3,6)))</f>
        <v>6</v>
      </c>
      <c r="CK14" s="10" t="str">
        <f aca="false">INDEX(Parameters!$F$2:$F$7,CJ14)</f>
        <v>Strong Buy</v>
      </c>
      <c r="CL14" s="10" t="str">
        <f aca="false">IF(CF14=1,"Hard sell: breakdown; ","")&amp;IF(CE14=1,"Insufficient history; ","")&amp;IF(AND(CF14=0,CG14=1),"Below 200D; ","")&amp;IF(CH14=1,"Extended - wait for pullback; ","")&amp;IF(CI14=1,"Earnings within "&amp;Parameters!$B$77&amp;"d; ","")</f>
        <v/>
      </c>
    </row>
    <row r="15" customFormat="false" ht="15" hidden="false" customHeight="false" outlineLevel="0" collapsed="false">
      <c r="A15" s="10" t="s">
        <v>332</v>
      </c>
      <c r="B15" s="10" t="n">
        <v>7</v>
      </c>
      <c r="C15" s="10" t="n">
        <v>7</v>
      </c>
      <c r="D15" s="10" t="n">
        <v>55.6</v>
      </c>
      <c r="E15" s="10" t="n">
        <v>7.5</v>
      </c>
      <c r="F15" s="10" t="n">
        <v>9</v>
      </c>
      <c r="G15" s="10" t="s">
        <v>333</v>
      </c>
      <c r="H15" s="10" t="s">
        <v>334</v>
      </c>
      <c r="I15" s="10" t="n">
        <v>165.52</v>
      </c>
      <c r="J15" s="10" t="s">
        <v>295</v>
      </c>
      <c r="K15" s="10" t="s">
        <v>334</v>
      </c>
      <c r="L15" s="15" t="n">
        <v>675299301190</v>
      </c>
      <c r="M15" s="16" t="n">
        <v>46234</v>
      </c>
      <c r="N15" s="10" t="n">
        <v>13.22</v>
      </c>
      <c r="O15" s="16" t="n">
        <v>46325</v>
      </c>
      <c r="P15" s="10" t="s">
        <v>297</v>
      </c>
      <c r="Q15" s="10" t="n">
        <v>0.79</v>
      </c>
      <c r="R15" s="10" t="n">
        <v>2.22</v>
      </c>
      <c r="S15" s="10" t="n">
        <v>0.83</v>
      </c>
      <c r="T15" s="10" t="n">
        <v>4.63</v>
      </c>
      <c r="U15" s="10" t="n">
        <v>3.58</v>
      </c>
      <c r="V15" s="10" t="n">
        <v>9.89</v>
      </c>
      <c r="W15" s="10" t="n">
        <v>9.2</v>
      </c>
      <c r="X15" s="10" t="n">
        <v>49.59</v>
      </c>
      <c r="Y15" s="10"/>
      <c r="Z15" s="10"/>
      <c r="AA15" s="10"/>
      <c r="AB15" s="10"/>
      <c r="AC15" s="10" t="n">
        <v>5.25</v>
      </c>
      <c r="AD15" s="10" t="n">
        <v>-6.17</v>
      </c>
      <c r="AE15" s="10" t="n">
        <v>60.84</v>
      </c>
      <c r="AF15" s="10" t="n">
        <v>7.08</v>
      </c>
      <c r="AG15" s="10" t="n">
        <v>13.82</v>
      </c>
      <c r="AH15" s="10" t="s">
        <v>301</v>
      </c>
      <c r="AI15" s="10" t="n">
        <v>-0.15</v>
      </c>
      <c r="AJ15" s="10" t="n">
        <v>-13.99</v>
      </c>
      <c r="AK15" s="10" t="n">
        <v>105.1</v>
      </c>
      <c r="AL15" s="10" t="n">
        <v>44.1</v>
      </c>
      <c r="AM15" s="10" t="n">
        <v>9.07</v>
      </c>
      <c r="AN15" s="10" t="n">
        <v>12.58</v>
      </c>
      <c r="AO15" s="10" t="n">
        <v>15.2</v>
      </c>
      <c r="AP15" s="10" t="n">
        <v>0.19</v>
      </c>
      <c r="AQ15" s="10" t="n">
        <v>0.9</v>
      </c>
      <c r="AR15" s="10" t="n">
        <v>300</v>
      </c>
      <c r="AS15" s="16" t="n">
        <v>46275</v>
      </c>
      <c r="AT15" s="15" t="n">
        <v>361060007936</v>
      </c>
      <c r="AU15" s="15" t="n">
        <v>107475001344</v>
      </c>
      <c r="AV15" s="10" t="n">
        <v>29.77</v>
      </c>
      <c r="AW15" s="15" t="n">
        <v>32757000192</v>
      </c>
      <c r="AX15" s="15" t="n">
        <v>20671000576</v>
      </c>
      <c r="AY15" s="10" t="n">
        <v>5.73</v>
      </c>
      <c r="AZ15" s="15" t="n">
        <v>-31779999744</v>
      </c>
      <c r="BA15" s="10" t="n">
        <v>49.94</v>
      </c>
      <c r="BB15" s="10" t="n">
        <v>83.5</v>
      </c>
      <c r="BC15" s="17" t="n">
        <f aca="false">IF(AND(ISNUMBER(O15),ISNUMBER(AS15)),O15-AS15,"")</f>
        <v>50</v>
      </c>
      <c r="BD15" s="10" t="n">
        <f aca="false">IF(OR(ISNUMBER(SEARCH("ETF",H15)),AND(F15="",AO15="")),1,0)</f>
        <v>0</v>
      </c>
      <c r="BE15" s="17" t="n">
        <f aca="false">IF(ISNUMBER(L15),IF(L15&gt;=Parameters!$B$3,2,IF(L15&gt;=Parameters!$B$4,1,0)),0)+IF(ISNUMBER(AW15),IF(AW15&gt;0,IF(AND(ISNUMBER(AM15),AM15&gt;=Parameters!$B$5),2,1),0),0)+IF(ISNUMBER(AX15),IF(AND(AX15&gt;0,ISNUMBER(AY15),AY15&gt;=Parameters!$B$6),1,0),0)+IF(ISNUMBER(AO15),IF(AND(AO15&gt;0,AO15&lt;=Parameters!$B$7),1,0),0)+IF(ISNUMBER(F15),IF(F15&gt;=Parameters!$B$8,1,0),0)</f>
        <v>7</v>
      </c>
      <c r="BF15" s="10" t="str">
        <f aca="false">IF(BD15=1,"ETF",IF(OR(AND(ISNUMBER(L15),L15&gt;=Parameters!$B$10),BE15&gt;=Parameters!$B$9),"Established","Early"))</f>
        <v>Established</v>
      </c>
      <c r="BG15" s="10" t="n">
        <f aca="false">IF(LEFT(AH15,6)="Golden",2,IF(LEFT(AH15,5)="Death",-2,0))</f>
        <v>2</v>
      </c>
      <c r="BH15" s="10" t="n">
        <f aca="false">IF(ISNUMBER(AG15),IF(AG15&gt;Parameters!$B$12,2,IF(AG15&gt;0,1,IF(AG15&gt;=Parameters!$B$13,-1,-2))),0)</f>
        <v>2</v>
      </c>
      <c r="BI15" s="10" t="n">
        <f aca="false">IF(ISNUMBER(AF15),IF(AND(AF15&gt;=Parameters!$B$14,AF15&lt;=Parameters!$B$15),1,IF(OR(AF15&gt;Parameters!$B$16,AF15&lt;Parameters!$B$17),-1,0)),0)</f>
        <v>1</v>
      </c>
      <c r="BJ15" s="10" t="n">
        <f aca="false">IF(ISNUMBER(AE15),IF(AND(AE15&gt;=Parameters!$B$18,AE15&lt;=Parameters!$B$19),1,IF(OR(AE15&gt;Parameters!$B$20,AE15&lt;Parameters!$B$21),-1,0)),0)</f>
        <v>1</v>
      </c>
      <c r="BK15" s="10" t="n">
        <f aca="false">IF(ISNUMBER(E15),IF(E15&gt;Parameters!$B$22,1,IF(E15&lt;Parameters!$B$23,-1,0)),0)</f>
        <v>1</v>
      </c>
      <c r="BL15" s="10" t="n">
        <f aca="false">IF(ISNUMBER(C15),IF(C15&gt;=Parameters!$B$24,1,IF(C15&lt;=Parameters!$B$25,-1,0)),0)</f>
        <v>1</v>
      </c>
      <c r="BM15" s="10" t="n">
        <f aca="false">IF(ISNUMBER(AJ15),IF(AND(AJ15&gt;Parameters!$B$26,ISNUMBER(U15)),IF(U15&lt;0,-1,1),0),0)</f>
        <v>0</v>
      </c>
      <c r="BN15" s="10" t="n">
        <f aca="false">IF(ISNUMBER(AD15),IF(AD15&gt;Parameters!$B$27,1,IF(AD15&lt;Parameters!$B$28,-1,0)),0)</f>
        <v>1</v>
      </c>
      <c r="BO15" s="17" t="n">
        <f aca="false">BG15+BH15+BI15+BJ15+BK15+BL15+BM15+BN15</f>
        <v>9</v>
      </c>
      <c r="BP15" s="10" t="n">
        <f aca="false">IF(ISNUMBER(F15),IF(F15&gt;=Parameters!$B$30,2,IF(F15&gt;=Parameters!$B$31,1,IF(F15&lt;=Parameters!$B$32,-1,0))),0)</f>
        <v>2</v>
      </c>
      <c r="BQ15" s="10" t="n">
        <f aca="false">IF(ISNUMBER(AK15),IF(AK15&gt;Parameters!$B$33,1,IF(AK15&lt;0,-1,0)),0)</f>
        <v>1</v>
      </c>
      <c r="BR15" s="10" t="n">
        <f aca="false">IF(ISNUMBER(AL15),IF(AL15&gt;Parameters!$B$34,1,IF(AL15&lt;0,-1,0)),0)</f>
        <v>1</v>
      </c>
      <c r="BS15" s="10" t="n">
        <f aca="false">IF(ISNUMBER(AP15),IF(AND(AP15&gt;0,AP15&lt;=Parameters!$B$35),1,IF(AP15&gt;Parameters!$B$36,-1,0)),0)</f>
        <v>1</v>
      </c>
      <c r="BT15" s="10" t="n">
        <f aca="false">IF(ISNUMBER(AY15),IF(AY15&gt;Parameters!$B$37,1,IF(AY15&lt;0,-1,0)),0)</f>
        <v>0</v>
      </c>
      <c r="BU15" s="10" t="n">
        <f aca="false">IF(ISNUMBER(AZ15),IF(AZ15&gt;0,1,0),0)</f>
        <v>0</v>
      </c>
      <c r="BV15" s="10" t="n">
        <f aca="false">IF(ISNUMBER(AL15),IF(AL15&gt;Parameters!$B$39,2,IF(AL15&gt;Parameters!$B$40,1,IF(AL15&lt;0,-2,IF(AL15&lt;Parameters!$B$41,-1,0)))),0)</f>
        <v>2</v>
      </c>
      <c r="BW15" s="10" t="n">
        <f aca="false">IF(ISNUMBER(AV15),IF(AV15&gt;Parameters!$B$42,1,IF(AV15&lt;Parameters!$B$43,-1,0)),0)</f>
        <v>0</v>
      </c>
      <c r="BX15" s="10" t="n">
        <f aca="false">IF(AND(ISNUMBER(AX15),AX15&gt;0),1,IF(AND(ISNUMBER(AY15),AY15&lt;Parameters!$B$44),-1,0))</f>
        <v>1</v>
      </c>
      <c r="BY15" s="10" t="n">
        <f aca="false">IF(ISNUMBER(AW15),IF(AW15&gt;0,1,0),0)</f>
        <v>1</v>
      </c>
      <c r="BZ15" s="10" t="n">
        <f aca="false">IF(ISNUMBER(AQ15),IF(AQ15&gt;Parameters!$B$46,-2,IF(AQ15&gt;Parameters!$B$45,-1,0)),0)</f>
        <v>0</v>
      </c>
      <c r="CA15" s="10" t="n">
        <f aca="false">IF(ISNUMBER(F15),IF(F15&gt;=Parameters!$B$47,1,IF(F15&lt;=Parameters!$B$48,-1,0)),0)</f>
        <v>1</v>
      </c>
      <c r="CB15" s="17" t="n">
        <f aca="false">IF(BF15="Established",BP15+BQ15+BR15+BS15+BT15+BU15,IF(BF15="Early",BV15+BW15+BX15+BY15+BZ15+CA15,0))</f>
        <v>5</v>
      </c>
      <c r="CC15" s="18" t="n">
        <f aca="false">IF(BF15="Established",BO15+CB15,IF(BF15="Early",BO15+Parameters!$B$50*CB15,BO15))</f>
        <v>14</v>
      </c>
      <c r="CD15" s="17" t="n">
        <f aca="false">IF(BF15="Established",IF(CC15&gt;=Parameters!$B$51,6,IF(CC15&gt;=Parameters!$B$52,5,IF(CC15&gt;=Parameters!$B$53,4,IF(CC15&gt;=Parameters!$B$54,3,IF(CC15&gt;=Parameters!$B$55,2,1))))),IF(BF15="Early",IF(CC15&gt;=Parameters!$B$56,5,IF(CC15&gt;=Parameters!$B$57,4,IF(CC15&gt;=Parameters!$B$58,3,IF(CC15&gt;=Parameters!$B$59,2,1)))),IF(CC15&gt;=Parameters!$B$60,6,IF(CC15&gt;=Parameters!$B$61,5,IF(CC15&gt;=Parameters!$B$62,4,IF(CC15&gt;=Parameters!$B$63,3,IF(CC15&gt;=Parameters!$B$64,2,1)))))))</f>
        <v>6</v>
      </c>
      <c r="CE15" s="10" t="n">
        <f aca="false">IF(AND(ISNUMBER(AR15),AR15&lt;Parameters!$B$66),1,0)</f>
        <v>0</v>
      </c>
      <c r="CF15" s="10" t="n">
        <f aca="false">IF(AND(LEFT(AH15,5)="Death",ISNUMBER(AG15)),IF(BF15="Early",IF(AND(AG15&lt;Parameters!$B$70,ISNUMBER(U15),U15&lt;Parameters!$B$71),1,0),IF(AND(AG15&lt;Parameters!$B$67,OR(AND(ISNUMBER(U15),U15&lt;Parameters!$B$68),AND(ISNUMBER(V15),V15&lt;Parameters!$B$69))),1,0)),0)</f>
        <v>0</v>
      </c>
      <c r="CG15" s="10" t="n">
        <f aca="false">IF(AND(ISNUMBER(AG15),AG15&lt;0),1,0)</f>
        <v>0</v>
      </c>
      <c r="CH15" s="10" t="n">
        <f aca="false">IF(OR(AND(ISNUMBER(U15),U15&gt;Parameters!$B$74),AND(ISNUMBER(AF15),AF15&gt;Parameters!$B$75),AND(ISNUMBER(AE15),AE15&gt;Parameters!$B$76)),1,0)</f>
        <v>0</v>
      </c>
      <c r="CI15" s="10" t="n">
        <f aca="false">IF(AND(ISNUMBER(BC15),BC15&gt;=0,BC15&lt;=Parameters!$B$77),1,0)</f>
        <v>0</v>
      </c>
      <c r="CJ15" s="17" t="n">
        <f aca="false">IF(CF15=1,1,MIN(CD15,IF(CE15=1,3,6),IF(CG15=1,IF(BF15="Early",Parameters!$B$73,Parameters!$B$72),6),IF(CH15=1,3,6),IF(CI15=1,3,6)))</f>
        <v>6</v>
      </c>
      <c r="CK15" s="10" t="str">
        <f aca="false">INDEX(Parameters!$F$2:$F$7,CJ15)</f>
        <v>Strong Buy</v>
      </c>
      <c r="CL15" s="10" t="str">
        <f aca="false">IF(CF15=1,"Hard sell: breakdown; ","")&amp;IF(CE15=1,"Insufficient history; ","")&amp;IF(AND(CF15=0,CG15=1),"Below 200D; ","")&amp;IF(CH15=1,"Extended - wait for pullback; ","")&amp;IF(CI15=1,"Earnings within "&amp;Parameters!$B$77&amp;"d; ","")</f>
        <v/>
      </c>
    </row>
    <row r="16" customFormat="false" ht="15" hidden="false" customHeight="false" outlineLevel="0" collapsed="false">
      <c r="A16" s="10" t="s">
        <v>335</v>
      </c>
      <c r="B16" s="10" t="n">
        <v>7</v>
      </c>
      <c r="C16" s="10" t="n">
        <v>7</v>
      </c>
      <c r="D16" s="10" t="n">
        <v>63.4</v>
      </c>
      <c r="E16" s="10" t="n">
        <v>7</v>
      </c>
      <c r="F16" s="10"/>
      <c r="G16" s="10" t="s">
        <v>336</v>
      </c>
      <c r="H16" s="10" t="s">
        <v>334</v>
      </c>
      <c r="I16" s="10" t="n">
        <v>65.16</v>
      </c>
      <c r="J16" s="10" t="s">
        <v>295</v>
      </c>
      <c r="K16" s="10"/>
      <c r="L16" s="15" t="n">
        <v>10783696896</v>
      </c>
      <c r="M16" s="16" t="n">
        <v>46122</v>
      </c>
      <c r="N16" s="10" t="n">
        <v>-12.5</v>
      </c>
      <c r="O16" s="16" t="n">
        <v>46213</v>
      </c>
      <c r="P16" s="10" t="s">
        <v>297</v>
      </c>
      <c r="Q16" s="10" t="n">
        <v>-0.24</v>
      </c>
      <c r="R16" s="10" t="n">
        <v>0.83</v>
      </c>
      <c r="S16" s="10" t="n">
        <v>0.08</v>
      </c>
      <c r="T16" s="10" t="n">
        <v>4.36</v>
      </c>
      <c r="U16" s="10" t="n">
        <v>6.93</v>
      </c>
      <c r="V16" s="10" t="n">
        <v>11.85</v>
      </c>
      <c r="W16" s="10" t="n">
        <v>14.35</v>
      </c>
      <c r="X16" s="10" t="n">
        <v>48.79</v>
      </c>
      <c r="Y16" s="10"/>
      <c r="Z16" s="10"/>
      <c r="AA16" s="10"/>
      <c r="AB16" s="10"/>
      <c r="AC16" s="10" t="n">
        <v>7.21</v>
      </c>
      <c r="AD16" s="10" t="n">
        <v>-1.56</v>
      </c>
      <c r="AE16" s="10" t="n">
        <v>67.03</v>
      </c>
      <c r="AF16" s="10" t="n">
        <v>8.78</v>
      </c>
      <c r="AG16" s="10" t="n">
        <v>18.18</v>
      </c>
      <c r="AH16" s="10" t="s">
        <v>301</v>
      </c>
      <c r="AI16" s="10" t="n">
        <v>0.01</v>
      </c>
      <c r="AJ16" s="10" t="n">
        <v>-12.8</v>
      </c>
      <c r="AK16" s="10"/>
      <c r="AL16" s="10"/>
      <c r="AM16" s="10"/>
      <c r="AN16" s="10"/>
      <c r="AO16" s="10"/>
      <c r="AP16" s="10"/>
      <c r="AQ16" s="10"/>
      <c r="AR16" s="10" t="n">
        <v>300</v>
      </c>
      <c r="AS16" s="16" t="n">
        <v>46275</v>
      </c>
      <c r="AT16" s="15" t="n">
        <v>0</v>
      </c>
      <c r="AU16" s="15" t="n">
        <v>0</v>
      </c>
      <c r="AV16" s="10"/>
      <c r="AW16" s="15" t="n">
        <v>0</v>
      </c>
      <c r="AX16" s="15" t="n">
        <v>0</v>
      </c>
      <c r="AY16" s="10"/>
      <c r="AZ16" s="15" t="n">
        <v>0</v>
      </c>
      <c r="BA16" s="10" t="n">
        <v>53.85</v>
      </c>
      <c r="BB16" s="10" t="n">
        <v>95.66</v>
      </c>
      <c r="BC16" s="17" t="n">
        <f aca="false">IF(AND(ISNUMBER(O16),ISNUMBER(AS16)),O16-AS16,"")</f>
        <v>-62</v>
      </c>
      <c r="BD16" s="10" t="n">
        <f aca="false">IF(OR(ISNUMBER(SEARCH("ETF",H16)),AND(F16="",AO16="")),1,0)</f>
        <v>1</v>
      </c>
      <c r="BE16" s="17" t="n">
        <f aca="false">IF(ISNUMBER(L16),IF(L16&gt;=Parameters!$B$3,2,IF(L16&gt;=Parameters!$B$4,1,0)),0)+IF(ISNUMBER(AW16),IF(AW16&gt;0,IF(AND(ISNUMBER(AM16),AM16&gt;=Parameters!$B$5),2,1),0),0)+IF(ISNUMBER(AX16),IF(AND(AX16&gt;0,ISNUMBER(AY16),AY16&gt;=Parameters!$B$6),1,0),0)+IF(ISNUMBER(AO16),IF(AND(AO16&gt;0,AO16&lt;=Parameters!$B$7),1,0),0)+IF(ISNUMBER(F16),IF(F16&gt;=Parameters!$B$8,1,0),0)</f>
        <v>0</v>
      </c>
      <c r="BF16" s="10" t="str">
        <f aca="false">IF(BD16=1,"ETF",IF(OR(AND(ISNUMBER(L16),L16&gt;=Parameters!$B$10),BE16&gt;=Parameters!$B$9),"Established","Early"))</f>
        <v>ETF</v>
      </c>
      <c r="BG16" s="10" t="n">
        <f aca="false">IF(LEFT(AH16,6)="Golden",2,IF(LEFT(AH16,5)="Death",-2,0))</f>
        <v>2</v>
      </c>
      <c r="BH16" s="10" t="n">
        <f aca="false">IF(ISNUMBER(AG16),IF(AG16&gt;Parameters!$B$12,2,IF(AG16&gt;0,1,IF(AG16&gt;=Parameters!$B$13,-1,-2))),0)</f>
        <v>2</v>
      </c>
      <c r="BI16" s="10" t="n">
        <f aca="false">IF(ISNUMBER(AF16),IF(AND(AF16&gt;=Parameters!$B$14,AF16&lt;=Parameters!$B$15),1,IF(OR(AF16&gt;Parameters!$B$16,AF16&lt;Parameters!$B$17),-1,0)),0)</f>
        <v>0</v>
      </c>
      <c r="BJ16" s="10" t="n">
        <f aca="false">IF(ISNUMBER(AE16),IF(AND(AE16&gt;=Parameters!$B$18,AE16&lt;=Parameters!$B$19),1,IF(OR(AE16&gt;Parameters!$B$20,AE16&lt;Parameters!$B$21),-1,0)),0)</f>
        <v>0</v>
      </c>
      <c r="BK16" s="10" t="n">
        <f aca="false">IF(ISNUMBER(E16),IF(E16&gt;Parameters!$B$22,1,IF(E16&lt;Parameters!$B$23,-1,0)),0)</f>
        <v>1</v>
      </c>
      <c r="BL16" s="10" t="n">
        <f aca="false">IF(ISNUMBER(C16),IF(C16&gt;=Parameters!$B$24,1,IF(C16&lt;=Parameters!$B$25,-1,0)),0)</f>
        <v>1</v>
      </c>
      <c r="BM16" s="10" t="n">
        <f aca="false">IF(ISNUMBER(AJ16),IF(AND(AJ16&gt;Parameters!$B$26,ISNUMBER(U16)),IF(U16&lt;0,-1,1),0),0)</f>
        <v>0</v>
      </c>
      <c r="BN16" s="10" t="n">
        <f aca="false">IF(ISNUMBER(AD16),IF(AD16&gt;Parameters!$B$27,1,IF(AD16&lt;Parameters!$B$28,-1,0)),0)</f>
        <v>1</v>
      </c>
      <c r="BO16" s="17" t="n">
        <f aca="false">BG16+BH16+BI16+BJ16+BK16+BL16+BM16+BN16</f>
        <v>7</v>
      </c>
      <c r="BP16" s="10" t="n">
        <f aca="false">IF(ISNUMBER(F16),IF(F16&gt;=Parameters!$B$30,2,IF(F16&gt;=Parameters!$B$31,1,IF(F16&lt;=Parameters!$B$32,-1,0))),0)</f>
        <v>0</v>
      </c>
      <c r="BQ16" s="10" t="n">
        <f aca="false">IF(ISNUMBER(AK16),IF(AK16&gt;Parameters!$B$33,1,IF(AK16&lt;0,-1,0)),0)</f>
        <v>0</v>
      </c>
      <c r="BR16" s="10" t="n">
        <f aca="false">IF(ISNUMBER(AL16),IF(AL16&gt;Parameters!$B$34,1,IF(AL16&lt;0,-1,0)),0)</f>
        <v>0</v>
      </c>
      <c r="BS16" s="10" t="n">
        <f aca="false">IF(ISNUMBER(AP16),IF(AND(AP16&gt;0,AP16&lt;=Parameters!$B$35),1,IF(AP16&gt;Parameters!$B$36,-1,0)),0)</f>
        <v>0</v>
      </c>
      <c r="BT16" s="10" t="n">
        <f aca="false">IF(ISNUMBER(AY16),IF(AY16&gt;Parameters!$B$37,1,IF(AY16&lt;0,-1,0)),0)</f>
        <v>0</v>
      </c>
      <c r="BU16" s="10" t="n">
        <f aca="false">IF(ISNUMBER(AZ16),IF(AZ16&gt;0,1,0),0)</f>
        <v>0</v>
      </c>
      <c r="BV16" s="10" t="n">
        <f aca="false">IF(ISNUMBER(AL16),IF(AL16&gt;Parameters!$B$39,2,IF(AL16&gt;Parameters!$B$40,1,IF(AL16&lt;0,-2,IF(AL16&lt;Parameters!$B$41,-1,0)))),0)</f>
        <v>0</v>
      </c>
      <c r="BW16" s="10" t="n">
        <f aca="false">IF(ISNUMBER(AV16),IF(AV16&gt;Parameters!$B$42,1,IF(AV16&lt;Parameters!$B$43,-1,0)),0)</f>
        <v>0</v>
      </c>
      <c r="BX16" s="10" t="n">
        <f aca="false">IF(AND(ISNUMBER(AX16),AX16&gt;0),1,IF(AND(ISNUMBER(AY16),AY16&lt;Parameters!$B$44),-1,0))</f>
        <v>0</v>
      </c>
      <c r="BY16" s="10" t="n">
        <f aca="false">IF(ISNUMBER(AW16),IF(AW16&gt;0,1,0),0)</f>
        <v>0</v>
      </c>
      <c r="BZ16" s="10" t="n">
        <f aca="false">IF(ISNUMBER(AQ16),IF(AQ16&gt;Parameters!$B$46,-2,IF(AQ16&gt;Parameters!$B$45,-1,0)),0)</f>
        <v>0</v>
      </c>
      <c r="CA16" s="10" t="n">
        <f aca="false">IF(ISNUMBER(F16),IF(F16&gt;=Parameters!$B$47,1,IF(F16&lt;=Parameters!$B$48,-1,0)),0)</f>
        <v>0</v>
      </c>
      <c r="CB16" s="17" t="n">
        <f aca="false">IF(BF16="Established",BP16+BQ16+BR16+BS16+BT16+BU16,IF(BF16="Early",BV16+BW16+BX16+BY16+BZ16+CA16,0))</f>
        <v>0</v>
      </c>
      <c r="CC16" s="18" t="n">
        <f aca="false">IF(BF16="Established",BO16+CB16,IF(BF16="Early",BO16+Parameters!$B$50*CB16,BO16))</f>
        <v>7</v>
      </c>
      <c r="CD16" s="17" t="n">
        <f aca="false">IF(BF16="Established",IF(CC16&gt;=Parameters!$B$51,6,IF(CC16&gt;=Parameters!$B$52,5,IF(CC16&gt;=Parameters!$B$53,4,IF(CC16&gt;=Parameters!$B$54,3,IF(CC16&gt;=Parameters!$B$55,2,1))))),IF(BF16="Early",IF(CC16&gt;=Parameters!$B$56,5,IF(CC16&gt;=Parameters!$B$57,4,IF(CC16&gt;=Parameters!$B$58,3,IF(CC16&gt;=Parameters!$B$59,2,1)))),IF(CC16&gt;=Parameters!$B$60,6,IF(CC16&gt;=Parameters!$B$61,5,IF(CC16&gt;=Parameters!$B$62,4,IF(CC16&gt;=Parameters!$B$63,3,IF(CC16&gt;=Parameters!$B$64,2,1)))))))</f>
        <v>5</v>
      </c>
      <c r="CE16" s="10" t="n">
        <f aca="false">IF(AND(ISNUMBER(AR16),AR16&lt;Parameters!$B$66),1,0)</f>
        <v>0</v>
      </c>
      <c r="CF16" s="10" t="n">
        <f aca="false">IF(AND(LEFT(AH16,5)="Death",ISNUMBER(AG16)),IF(BF16="Early",IF(AND(AG16&lt;Parameters!$B$70,ISNUMBER(U16),U16&lt;Parameters!$B$71),1,0),IF(AND(AG16&lt;Parameters!$B$67,OR(AND(ISNUMBER(U16),U16&lt;Parameters!$B$68),AND(ISNUMBER(V16),V16&lt;Parameters!$B$69))),1,0)),0)</f>
        <v>0</v>
      </c>
      <c r="CG16" s="10" t="n">
        <f aca="false">IF(AND(ISNUMBER(AG16),AG16&lt;0),1,0)</f>
        <v>0</v>
      </c>
      <c r="CH16" s="10" t="n">
        <f aca="false">IF(OR(AND(ISNUMBER(U16),U16&gt;Parameters!$B$74),AND(ISNUMBER(AF16),AF16&gt;Parameters!$B$75),AND(ISNUMBER(AE16),AE16&gt;Parameters!$B$76)),1,0)</f>
        <v>0</v>
      </c>
      <c r="CI16" s="10" t="n">
        <f aca="false">IF(AND(ISNUMBER(BC16),BC16&gt;=0,BC16&lt;=Parameters!$B$77),1,0)</f>
        <v>0</v>
      </c>
      <c r="CJ16" s="17" t="n">
        <f aca="false">IF(CF16=1,1,MIN(CD16,IF(CE16=1,3,6),IF(CG16=1,IF(BF16="Early",Parameters!$B$73,Parameters!$B$72),6),IF(CH16=1,3,6),IF(CI16=1,3,6)))</f>
        <v>5</v>
      </c>
      <c r="CK16" s="10" t="str">
        <f aca="false">INDEX(Parameters!$F$2:$F$7,CJ16)</f>
        <v>Buy</v>
      </c>
      <c r="CL16" s="10" t="str">
        <f aca="false">IF(CF16=1,"Hard sell: breakdown; ","")&amp;IF(CE16=1,"Insufficient history; ","")&amp;IF(AND(CF16=0,CG16=1),"Below 200D; ","")&amp;IF(CH16=1,"Extended - wait for pullback; ","")&amp;IF(CI16=1,"Earnings within "&amp;Parameters!$B$77&amp;"d; ","")</f>
        <v/>
      </c>
    </row>
    <row r="17" customFormat="false" ht="15" hidden="false" customHeight="false" outlineLevel="0" collapsed="false">
      <c r="A17" s="10" t="s">
        <v>337</v>
      </c>
      <c r="B17" s="10" t="n">
        <v>7</v>
      </c>
      <c r="C17" s="10" t="n">
        <v>7</v>
      </c>
      <c r="D17" s="10" t="n">
        <v>67.7</v>
      </c>
      <c r="E17" s="10" t="n">
        <v>-4.3</v>
      </c>
      <c r="F17" s="10" t="n">
        <v>8</v>
      </c>
      <c r="G17" s="10" t="s">
        <v>338</v>
      </c>
      <c r="H17" s="10" t="s">
        <v>317</v>
      </c>
      <c r="I17" s="10" t="n">
        <v>229.53</v>
      </c>
      <c r="J17" s="10" t="s">
        <v>295</v>
      </c>
      <c r="K17" s="10" t="s">
        <v>296</v>
      </c>
      <c r="L17" s="15" t="n">
        <v>211204566158</v>
      </c>
      <c r="M17" s="16" t="n">
        <v>46261</v>
      </c>
      <c r="N17" s="10" t="n">
        <v>1.08</v>
      </c>
      <c r="O17" s="16" t="n">
        <v>46352</v>
      </c>
      <c r="P17" s="10" t="s">
        <v>297</v>
      </c>
      <c r="Q17" s="10" t="n">
        <v>-2.33</v>
      </c>
      <c r="R17" s="10" t="n">
        <v>4.26</v>
      </c>
      <c r="S17" s="10" t="n">
        <v>11.16</v>
      </c>
      <c r="T17" s="10" t="n">
        <v>-6.36</v>
      </c>
      <c r="U17" s="10" t="n">
        <v>8.11</v>
      </c>
      <c r="V17" s="10" t="n">
        <v>-9.13</v>
      </c>
      <c r="W17" s="10" t="n">
        <v>153.79</v>
      </c>
      <c r="X17" s="10" t="n">
        <v>243.4</v>
      </c>
      <c r="Y17" s="10"/>
      <c r="Z17" s="10"/>
      <c r="AA17" s="10"/>
      <c r="AB17" s="10"/>
      <c r="AC17" s="10" t="n">
        <v>-13.77</v>
      </c>
      <c r="AD17" s="10" t="n">
        <v>-30.42</v>
      </c>
      <c r="AE17" s="10" t="n">
        <v>53.02</v>
      </c>
      <c r="AF17" s="10" t="n">
        <v>5.47</v>
      </c>
      <c r="AG17" s="10" t="n">
        <v>49.01</v>
      </c>
      <c r="AH17" s="10" t="s">
        <v>301</v>
      </c>
      <c r="AI17" s="10" t="n">
        <v>0.19</v>
      </c>
      <c r="AJ17" s="10" t="n">
        <v>-30.74</v>
      </c>
      <c r="AK17" s="10" t="n">
        <v>58.1</v>
      </c>
      <c r="AL17" s="10" t="n">
        <v>36.5</v>
      </c>
      <c r="AM17" s="10" t="n">
        <v>27.93</v>
      </c>
      <c r="AN17" s="10" t="n">
        <v>16.52</v>
      </c>
      <c r="AO17" s="10" t="n">
        <v>34.26</v>
      </c>
      <c r="AP17" s="10" t="n">
        <v>1.59</v>
      </c>
      <c r="AQ17" s="10" t="n">
        <v>3.25</v>
      </c>
      <c r="AR17" s="10" t="n">
        <v>300</v>
      </c>
      <c r="AS17" s="16" t="n">
        <v>46275</v>
      </c>
      <c r="AT17" s="15" t="n">
        <v>9450300416</v>
      </c>
      <c r="AU17" s="15" t="n">
        <v>4934600192</v>
      </c>
      <c r="AV17" s="10" t="n">
        <v>52.22</v>
      </c>
      <c r="AW17" s="15" t="n">
        <v>2639899904</v>
      </c>
      <c r="AX17" s="15" t="n">
        <v>2408049920</v>
      </c>
      <c r="AY17" s="10" t="n">
        <v>25.48</v>
      </c>
      <c r="AZ17" s="15" t="n">
        <v>-1353299968</v>
      </c>
      <c r="BA17" s="10" t="n">
        <v>247.04</v>
      </c>
      <c r="BB17" s="10" t="n">
        <v>61.95</v>
      </c>
      <c r="BC17" s="17" t="n">
        <f aca="false">IF(AND(ISNUMBER(O17),ISNUMBER(AS17)),O17-AS17,"")</f>
        <v>77</v>
      </c>
      <c r="BD17" s="10" t="n">
        <f aca="false">IF(OR(ISNUMBER(SEARCH("ETF",H17)),AND(F17="",AO17="")),1,0)</f>
        <v>0</v>
      </c>
      <c r="BE17" s="17" t="n">
        <f aca="false">IF(ISNUMBER(L17),IF(L17&gt;=Parameters!$B$3,2,IF(L17&gt;=Parameters!$B$4,1,0)),0)+IF(ISNUMBER(AW17),IF(AW17&gt;0,IF(AND(ISNUMBER(AM17),AM17&gt;=Parameters!$B$5),2,1),0),0)+IF(ISNUMBER(AX17),IF(AND(AX17&gt;0,ISNUMBER(AY17),AY17&gt;=Parameters!$B$6),1,0),0)+IF(ISNUMBER(AO17),IF(AND(AO17&gt;0,AO17&lt;=Parameters!$B$7),1,0),0)+IF(ISNUMBER(F17),IF(F17&gt;=Parameters!$B$8,1,0),0)</f>
        <v>7</v>
      </c>
      <c r="BF17" s="10" t="str">
        <f aca="false">IF(BD17=1,"ETF",IF(OR(AND(ISNUMBER(L17),L17&gt;=Parameters!$B$10),BE17&gt;=Parameters!$B$9),"Established","Early"))</f>
        <v>Established</v>
      </c>
      <c r="BG17" s="10" t="n">
        <f aca="false">IF(LEFT(AH17,6)="Golden",2,IF(LEFT(AH17,5)="Death",-2,0))</f>
        <v>2</v>
      </c>
      <c r="BH17" s="10" t="n">
        <f aca="false">IF(ISNUMBER(AG17),IF(AG17&gt;Parameters!$B$12,2,IF(AG17&gt;0,1,IF(AG17&gt;=Parameters!$B$13,-1,-2))),0)</f>
        <v>2</v>
      </c>
      <c r="BI17" s="10" t="n">
        <f aca="false">IF(ISNUMBER(AF17),IF(AND(AF17&gt;=Parameters!$B$14,AF17&lt;=Parameters!$B$15),1,IF(OR(AF17&gt;Parameters!$B$16,AF17&lt;Parameters!$B$17),-1,0)),0)</f>
        <v>1</v>
      </c>
      <c r="BJ17" s="10" t="n">
        <f aca="false">IF(ISNUMBER(AE17),IF(AND(AE17&gt;=Parameters!$B$18,AE17&lt;=Parameters!$B$19),1,IF(OR(AE17&gt;Parameters!$B$20,AE17&lt;Parameters!$B$21),-1,0)),0)</f>
        <v>1</v>
      </c>
      <c r="BK17" s="10" t="n">
        <f aca="false">IF(ISNUMBER(E17),IF(E17&gt;Parameters!$B$22,1,IF(E17&lt;Parameters!$B$23,-1,0)),0)</f>
        <v>0</v>
      </c>
      <c r="BL17" s="10" t="n">
        <f aca="false">IF(ISNUMBER(C17),IF(C17&gt;=Parameters!$B$24,1,IF(C17&lt;=Parameters!$B$25,-1,0)),0)</f>
        <v>1</v>
      </c>
      <c r="BM17" s="10" t="n">
        <f aca="false">IF(ISNUMBER(AJ17),IF(AND(AJ17&gt;Parameters!$B$26,ISNUMBER(U17)),IF(U17&lt;0,-1,1),0),0)</f>
        <v>0</v>
      </c>
      <c r="BN17" s="10" t="n">
        <f aca="false">IF(ISNUMBER(AD17),IF(AD17&gt;Parameters!$B$27,1,IF(AD17&lt;Parameters!$B$28,-1,0)),0)</f>
        <v>-1</v>
      </c>
      <c r="BO17" s="17" t="n">
        <f aca="false">BG17+BH17+BI17+BJ17+BK17+BL17+BM17+BN17</f>
        <v>6</v>
      </c>
      <c r="BP17" s="10" t="n">
        <f aca="false">IF(ISNUMBER(F17),IF(F17&gt;=Parameters!$B$30,2,IF(F17&gt;=Parameters!$B$31,1,IF(F17&lt;=Parameters!$B$32,-1,0))),0)</f>
        <v>2</v>
      </c>
      <c r="BQ17" s="10" t="n">
        <f aca="false">IF(ISNUMBER(AK17),IF(AK17&gt;Parameters!$B$33,1,IF(AK17&lt;0,-1,0)),0)</f>
        <v>1</v>
      </c>
      <c r="BR17" s="10" t="n">
        <f aca="false">IF(ISNUMBER(AL17),IF(AL17&gt;Parameters!$B$34,1,IF(AL17&lt;0,-1,0)),0)</f>
        <v>1</v>
      </c>
      <c r="BS17" s="10" t="n">
        <f aca="false">IF(ISNUMBER(AP17),IF(AND(AP17&gt;0,AP17&lt;=Parameters!$B$35),1,IF(AP17&gt;Parameters!$B$36,-1,0)),0)</f>
        <v>0</v>
      </c>
      <c r="BT17" s="10" t="n">
        <f aca="false">IF(ISNUMBER(AY17),IF(AY17&gt;Parameters!$B$37,1,IF(AY17&lt;0,-1,0)),0)</f>
        <v>1</v>
      </c>
      <c r="BU17" s="10" t="n">
        <f aca="false">IF(ISNUMBER(AZ17),IF(AZ17&gt;0,1,0),0)</f>
        <v>0</v>
      </c>
      <c r="BV17" s="10" t="n">
        <f aca="false">IF(ISNUMBER(AL17),IF(AL17&gt;Parameters!$B$39,2,IF(AL17&gt;Parameters!$B$40,1,IF(AL17&lt;0,-2,IF(AL17&lt;Parameters!$B$41,-1,0)))),0)</f>
        <v>2</v>
      </c>
      <c r="BW17" s="10" t="n">
        <f aca="false">IF(ISNUMBER(AV17),IF(AV17&gt;Parameters!$B$42,1,IF(AV17&lt;Parameters!$B$43,-1,0)),0)</f>
        <v>1</v>
      </c>
      <c r="BX17" s="10" t="n">
        <f aca="false">IF(AND(ISNUMBER(AX17),AX17&gt;0),1,IF(AND(ISNUMBER(AY17),AY17&lt;Parameters!$B$44),-1,0))</f>
        <v>1</v>
      </c>
      <c r="BY17" s="10" t="n">
        <f aca="false">IF(ISNUMBER(AW17),IF(AW17&gt;0,1,0),0)</f>
        <v>1</v>
      </c>
      <c r="BZ17" s="10" t="n">
        <f aca="false">IF(ISNUMBER(AQ17),IF(AQ17&gt;Parameters!$B$46,-2,IF(AQ17&gt;Parameters!$B$45,-1,0)),0)</f>
        <v>0</v>
      </c>
      <c r="CA17" s="10" t="n">
        <f aca="false">IF(ISNUMBER(F17),IF(F17&gt;=Parameters!$B$47,1,IF(F17&lt;=Parameters!$B$48,-1,0)),0)</f>
        <v>1</v>
      </c>
      <c r="CB17" s="17" t="n">
        <f aca="false">IF(BF17="Established",BP17+BQ17+BR17+BS17+BT17+BU17,IF(BF17="Early",BV17+BW17+BX17+BY17+BZ17+CA17,0))</f>
        <v>5</v>
      </c>
      <c r="CC17" s="18" t="n">
        <f aca="false">IF(BF17="Established",BO17+CB17,IF(BF17="Early",BO17+Parameters!$B$50*CB17,BO17))</f>
        <v>11</v>
      </c>
      <c r="CD17" s="17" t="n">
        <f aca="false">IF(BF17="Established",IF(CC17&gt;=Parameters!$B$51,6,IF(CC17&gt;=Parameters!$B$52,5,IF(CC17&gt;=Parameters!$B$53,4,IF(CC17&gt;=Parameters!$B$54,3,IF(CC17&gt;=Parameters!$B$55,2,1))))),IF(BF17="Early",IF(CC17&gt;=Parameters!$B$56,5,IF(CC17&gt;=Parameters!$B$57,4,IF(CC17&gt;=Parameters!$B$58,3,IF(CC17&gt;=Parameters!$B$59,2,1)))),IF(CC17&gt;=Parameters!$B$60,6,IF(CC17&gt;=Parameters!$B$61,5,IF(CC17&gt;=Parameters!$B$62,4,IF(CC17&gt;=Parameters!$B$63,3,IF(CC17&gt;=Parameters!$B$64,2,1)))))))</f>
        <v>5</v>
      </c>
      <c r="CE17" s="10" t="n">
        <f aca="false">IF(AND(ISNUMBER(AR17),AR17&lt;Parameters!$B$66),1,0)</f>
        <v>0</v>
      </c>
      <c r="CF17" s="10" t="n">
        <f aca="false">IF(AND(LEFT(AH17,5)="Death",ISNUMBER(AG17)),IF(BF17="Early",IF(AND(AG17&lt;Parameters!$B$70,ISNUMBER(U17),U17&lt;Parameters!$B$71),1,0),IF(AND(AG17&lt;Parameters!$B$67,OR(AND(ISNUMBER(U17),U17&lt;Parameters!$B$68),AND(ISNUMBER(V17),V17&lt;Parameters!$B$69))),1,0)),0)</f>
        <v>0</v>
      </c>
      <c r="CG17" s="10" t="n">
        <f aca="false">IF(AND(ISNUMBER(AG17),AG17&lt;0),1,0)</f>
        <v>0</v>
      </c>
      <c r="CH17" s="10" t="n">
        <f aca="false">IF(OR(AND(ISNUMBER(U17),U17&gt;Parameters!$B$74),AND(ISNUMBER(AF17),AF17&gt;Parameters!$B$75),AND(ISNUMBER(AE17),AE17&gt;Parameters!$B$76)),1,0)</f>
        <v>0</v>
      </c>
      <c r="CI17" s="10" t="n">
        <f aca="false">IF(AND(ISNUMBER(BC17),BC17&gt;=0,BC17&lt;=Parameters!$B$77),1,0)</f>
        <v>0</v>
      </c>
      <c r="CJ17" s="17" t="n">
        <f aca="false">IF(CF17=1,1,MIN(CD17,IF(CE17=1,3,6),IF(CG17=1,IF(BF17="Early",Parameters!$B$73,Parameters!$B$72),6),IF(CH17=1,3,6),IF(CI17=1,3,6)))</f>
        <v>5</v>
      </c>
      <c r="CK17" s="10" t="str">
        <f aca="false">INDEX(Parameters!$F$2:$F$7,CJ17)</f>
        <v>Buy</v>
      </c>
      <c r="CL17" s="10" t="str">
        <f aca="false">IF(CF17=1,"Hard sell: breakdown; ","")&amp;IF(CE17=1,"Insufficient history; ","")&amp;IF(AND(CF17=0,CG17=1),"Below 200D; ","")&amp;IF(CH17=1,"Extended - wait for pullback; ","")&amp;IF(CI17=1,"Earnings within "&amp;Parameters!$B$77&amp;"d; ","")</f>
        <v/>
      </c>
    </row>
    <row r="18" customFormat="false" ht="15" hidden="false" customHeight="false" outlineLevel="0" collapsed="false">
      <c r="A18" s="10" t="s">
        <v>339</v>
      </c>
      <c r="B18" s="10" t="n">
        <v>7</v>
      </c>
      <c r="C18" s="10" t="n">
        <v>6</v>
      </c>
      <c r="D18" s="10" t="n">
        <v>51.9</v>
      </c>
      <c r="E18" s="10" t="n">
        <v>6.7</v>
      </c>
      <c r="F18" s="10" t="n">
        <v>9</v>
      </c>
      <c r="G18" s="10" t="s">
        <v>340</v>
      </c>
      <c r="H18" s="10" t="s">
        <v>317</v>
      </c>
      <c r="I18" s="10" t="n">
        <v>300.89</v>
      </c>
      <c r="J18" s="10" t="s">
        <v>295</v>
      </c>
      <c r="K18" s="10" t="s">
        <v>296</v>
      </c>
      <c r="L18" s="15" t="n">
        <v>395217224639</v>
      </c>
      <c r="M18" s="16" t="n">
        <v>46232</v>
      </c>
      <c r="N18" s="10" t="n">
        <v>8.33</v>
      </c>
      <c r="O18" s="16" t="n">
        <v>46323</v>
      </c>
      <c r="P18" s="10" t="s">
        <v>297</v>
      </c>
      <c r="Q18" s="10" t="n">
        <v>-4.73</v>
      </c>
      <c r="R18" s="10" t="n">
        <v>-1.43</v>
      </c>
      <c r="S18" s="10" t="n">
        <v>4.36</v>
      </c>
      <c r="T18" s="10" t="n">
        <v>-3.83</v>
      </c>
      <c r="U18" s="10" t="n">
        <v>-3.38</v>
      </c>
      <c r="V18" s="10" t="n">
        <v>-6.5</v>
      </c>
      <c r="W18" s="10" t="n">
        <v>37.47</v>
      </c>
      <c r="X18" s="10" t="n">
        <v>185.01</v>
      </c>
      <c r="Y18" s="10"/>
      <c r="Z18" s="10"/>
      <c r="AA18" s="10"/>
      <c r="AB18" s="10"/>
      <c r="AC18" s="10" t="n">
        <v>-11.14</v>
      </c>
      <c r="AD18" s="10" t="n">
        <v>-31.38</v>
      </c>
      <c r="AE18" s="10" t="n">
        <v>46.05</v>
      </c>
      <c r="AF18" s="10" t="n">
        <v>-4.83</v>
      </c>
      <c r="AG18" s="10" t="n">
        <v>14.22</v>
      </c>
      <c r="AH18" s="10" t="s">
        <v>301</v>
      </c>
      <c r="AI18" s="10" t="n">
        <v>0.55</v>
      </c>
      <c r="AJ18" s="10" t="n">
        <v>-14.39</v>
      </c>
      <c r="AK18" s="10" t="n">
        <v>32.4</v>
      </c>
      <c r="AL18" s="10" t="n">
        <v>30</v>
      </c>
      <c r="AM18" s="10" t="n">
        <v>31.27</v>
      </c>
      <c r="AN18" s="10" t="n">
        <v>65.07</v>
      </c>
      <c r="AO18" s="10" t="n">
        <v>27.69</v>
      </c>
      <c r="AP18" s="10" t="n">
        <v>1.6</v>
      </c>
      <c r="AQ18" s="10" t="n">
        <v>2.28</v>
      </c>
      <c r="AR18" s="10" t="n">
        <v>300</v>
      </c>
      <c r="AS18" s="16" t="n">
        <v>46275</v>
      </c>
      <c r="AT18" s="15" t="n">
        <v>23232690176</v>
      </c>
      <c r="AU18" s="15" t="n">
        <v>11725307904</v>
      </c>
      <c r="AV18" s="10" t="n">
        <v>50.47</v>
      </c>
      <c r="AW18" s="15" t="n">
        <v>7265396224</v>
      </c>
      <c r="AX18" s="15" t="n">
        <v>3090484480</v>
      </c>
      <c r="AY18" s="10" t="n">
        <v>13.3</v>
      </c>
      <c r="AZ18" s="15" t="n">
        <v>1457605888</v>
      </c>
      <c r="BA18" s="10" t="n">
        <v>187.63</v>
      </c>
      <c r="BB18" s="10" t="n">
        <v>58.79</v>
      </c>
      <c r="BC18" s="17" t="n">
        <f aca="false">IF(AND(ISNUMBER(O18),ISNUMBER(AS18)),O18-AS18,"")</f>
        <v>48</v>
      </c>
      <c r="BD18" s="10" t="n">
        <f aca="false">IF(OR(ISNUMBER(SEARCH("ETF",H18)),AND(F18="",AO18="")),1,0)</f>
        <v>0</v>
      </c>
      <c r="BE18" s="17" t="n">
        <f aca="false">IF(ISNUMBER(L18),IF(L18&gt;=Parameters!$B$3,2,IF(L18&gt;=Parameters!$B$4,1,0)),0)+IF(ISNUMBER(AW18),IF(AW18&gt;0,IF(AND(ISNUMBER(AM18),AM18&gt;=Parameters!$B$5),2,1),0),0)+IF(ISNUMBER(AX18),IF(AND(AX18&gt;0,ISNUMBER(AY18),AY18&gt;=Parameters!$B$6),1,0),0)+IF(ISNUMBER(AO18),IF(AND(AO18&gt;0,AO18&lt;=Parameters!$B$7),1,0),0)+IF(ISNUMBER(F18),IF(F18&gt;=Parameters!$B$8,1,0),0)</f>
        <v>7</v>
      </c>
      <c r="BF18" s="10" t="str">
        <f aca="false">IF(BD18=1,"ETF",IF(OR(AND(ISNUMBER(L18),L18&gt;=Parameters!$B$10),BE18&gt;=Parameters!$B$9),"Established","Early"))</f>
        <v>Established</v>
      </c>
      <c r="BG18" s="10" t="n">
        <f aca="false">IF(LEFT(AH18,6)="Golden",2,IF(LEFT(AH18,5)="Death",-2,0))</f>
        <v>2</v>
      </c>
      <c r="BH18" s="10" t="n">
        <f aca="false">IF(ISNUMBER(AG18),IF(AG18&gt;Parameters!$B$12,2,IF(AG18&gt;0,1,IF(AG18&gt;=Parameters!$B$13,-1,-2))),0)</f>
        <v>2</v>
      </c>
      <c r="BI18" s="10" t="n">
        <f aca="false">IF(ISNUMBER(AF18),IF(AND(AF18&gt;=Parameters!$B$14,AF18&lt;=Parameters!$B$15),1,IF(OR(AF18&gt;Parameters!$B$16,AF18&lt;Parameters!$B$17),-1,0)),0)</f>
        <v>0</v>
      </c>
      <c r="BJ18" s="10" t="n">
        <f aca="false">IF(ISNUMBER(AE18),IF(AND(AE18&gt;=Parameters!$B$18,AE18&lt;=Parameters!$B$19),1,IF(OR(AE18&gt;Parameters!$B$20,AE18&lt;Parameters!$B$21),-1,0)),0)</f>
        <v>1</v>
      </c>
      <c r="BK18" s="10" t="n">
        <f aca="false">IF(ISNUMBER(E18),IF(E18&gt;Parameters!$B$22,1,IF(E18&lt;Parameters!$B$23,-1,0)),0)</f>
        <v>1</v>
      </c>
      <c r="BL18" s="10" t="n">
        <f aca="false">IF(ISNUMBER(C18),IF(C18&gt;=Parameters!$B$24,1,IF(C18&lt;=Parameters!$B$25,-1,0)),0)</f>
        <v>0</v>
      </c>
      <c r="BM18" s="10" t="n">
        <f aca="false">IF(ISNUMBER(AJ18),IF(AND(AJ18&gt;Parameters!$B$26,ISNUMBER(U18)),IF(U18&lt;0,-1,1),0),0)</f>
        <v>0</v>
      </c>
      <c r="BN18" s="10" t="n">
        <f aca="false">IF(ISNUMBER(AD18),IF(AD18&gt;Parameters!$B$27,1,IF(AD18&lt;Parameters!$B$28,-1,0)),0)</f>
        <v>-1</v>
      </c>
      <c r="BO18" s="17" t="n">
        <f aca="false">BG18+BH18+BI18+BJ18+BK18+BL18+BM18+BN18</f>
        <v>5</v>
      </c>
      <c r="BP18" s="10" t="n">
        <f aca="false">IF(ISNUMBER(F18),IF(F18&gt;=Parameters!$B$30,2,IF(F18&gt;=Parameters!$B$31,1,IF(F18&lt;=Parameters!$B$32,-1,0))),0)</f>
        <v>2</v>
      </c>
      <c r="BQ18" s="10" t="n">
        <f aca="false">IF(ISNUMBER(AK18),IF(AK18&gt;Parameters!$B$33,1,IF(AK18&lt;0,-1,0)),0)</f>
        <v>1</v>
      </c>
      <c r="BR18" s="10" t="n">
        <f aca="false">IF(ISNUMBER(AL18),IF(AL18&gt;Parameters!$B$34,1,IF(AL18&lt;0,-1,0)),0)</f>
        <v>1</v>
      </c>
      <c r="BS18" s="10" t="n">
        <f aca="false">IF(ISNUMBER(AP18),IF(AND(AP18&gt;0,AP18&lt;=Parameters!$B$35),1,IF(AP18&gt;Parameters!$B$36,-1,0)),0)</f>
        <v>0</v>
      </c>
      <c r="BT18" s="10" t="n">
        <f aca="false">IF(ISNUMBER(AY18),IF(AY18&gt;Parameters!$B$37,1,IF(AY18&lt;0,-1,0)),0)</f>
        <v>1</v>
      </c>
      <c r="BU18" s="10" t="n">
        <f aca="false">IF(ISNUMBER(AZ18),IF(AZ18&gt;0,1,0),0)</f>
        <v>1</v>
      </c>
      <c r="BV18" s="10" t="n">
        <f aca="false">IF(ISNUMBER(AL18),IF(AL18&gt;Parameters!$B$39,2,IF(AL18&gt;Parameters!$B$40,1,IF(AL18&lt;0,-2,IF(AL18&lt;Parameters!$B$41,-1,0)))),0)</f>
        <v>1</v>
      </c>
      <c r="BW18" s="10" t="n">
        <f aca="false">IF(ISNUMBER(AV18),IF(AV18&gt;Parameters!$B$42,1,IF(AV18&lt;Parameters!$B$43,-1,0)),0)</f>
        <v>1</v>
      </c>
      <c r="BX18" s="10" t="n">
        <f aca="false">IF(AND(ISNUMBER(AX18),AX18&gt;0),1,IF(AND(ISNUMBER(AY18),AY18&lt;Parameters!$B$44),-1,0))</f>
        <v>1</v>
      </c>
      <c r="BY18" s="10" t="n">
        <f aca="false">IF(ISNUMBER(AW18),IF(AW18&gt;0,1,0),0)</f>
        <v>1</v>
      </c>
      <c r="BZ18" s="10" t="n">
        <f aca="false">IF(ISNUMBER(AQ18),IF(AQ18&gt;Parameters!$B$46,-2,IF(AQ18&gt;Parameters!$B$45,-1,0)),0)</f>
        <v>0</v>
      </c>
      <c r="CA18" s="10" t="n">
        <f aca="false">IF(ISNUMBER(F18),IF(F18&gt;=Parameters!$B$47,1,IF(F18&lt;=Parameters!$B$48,-1,0)),0)</f>
        <v>1</v>
      </c>
      <c r="CB18" s="17" t="n">
        <f aca="false">IF(BF18="Established",BP18+BQ18+BR18+BS18+BT18+BU18,IF(BF18="Early",BV18+BW18+BX18+BY18+BZ18+CA18,0))</f>
        <v>6</v>
      </c>
      <c r="CC18" s="18" t="n">
        <f aca="false">IF(BF18="Established",BO18+CB18,IF(BF18="Early",BO18+Parameters!$B$50*CB18,BO18))</f>
        <v>11</v>
      </c>
      <c r="CD18" s="17" t="n">
        <f aca="false">IF(BF18="Established",IF(CC18&gt;=Parameters!$B$51,6,IF(CC18&gt;=Parameters!$B$52,5,IF(CC18&gt;=Parameters!$B$53,4,IF(CC18&gt;=Parameters!$B$54,3,IF(CC18&gt;=Parameters!$B$55,2,1))))),IF(BF18="Early",IF(CC18&gt;=Parameters!$B$56,5,IF(CC18&gt;=Parameters!$B$57,4,IF(CC18&gt;=Parameters!$B$58,3,IF(CC18&gt;=Parameters!$B$59,2,1)))),IF(CC18&gt;=Parameters!$B$60,6,IF(CC18&gt;=Parameters!$B$61,5,IF(CC18&gt;=Parameters!$B$62,4,IF(CC18&gt;=Parameters!$B$63,3,IF(CC18&gt;=Parameters!$B$64,2,1)))))))</f>
        <v>5</v>
      </c>
      <c r="CE18" s="10" t="n">
        <f aca="false">IF(AND(ISNUMBER(AR18),AR18&lt;Parameters!$B$66),1,0)</f>
        <v>0</v>
      </c>
      <c r="CF18" s="10" t="n">
        <f aca="false">IF(AND(LEFT(AH18,5)="Death",ISNUMBER(AG18)),IF(BF18="Early",IF(AND(AG18&lt;Parameters!$B$70,ISNUMBER(U18),U18&lt;Parameters!$B$71),1,0),IF(AND(AG18&lt;Parameters!$B$67,OR(AND(ISNUMBER(U18),U18&lt;Parameters!$B$68),AND(ISNUMBER(V18),V18&lt;Parameters!$B$69))),1,0)),0)</f>
        <v>0</v>
      </c>
      <c r="CG18" s="10" t="n">
        <f aca="false">IF(AND(ISNUMBER(AG18),AG18&lt;0),1,0)</f>
        <v>0</v>
      </c>
      <c r="CH18" s="10" t="n">
        <f aca="false">IF(OR(AND(ISNUMBER(U18),U18&gt;Parameters!$B$74),AND(ISNUMBER(AF18),AF18&gt;Parameters!$B$75),AND(ISNUMBER(AE18),AE18&gt;Parameters!$B$76)),1,0)</f>
        <v>0</v>
      </c>
      <c r="CI18" s="10" t="n">
        <f aca="false">IF(AND(ISNUMBER(BC18),BC18&gt;=0,BC18&lt;=Parameters!$B$77),1,0)</f>
        <v>0</v>
      </c>
      <c r="CJ18" s="17" t="n">
        <f aca="false">IF(CF18=1,1,MIN(CD18,IF(CE18=1,3,6),IF(CG18=1,IF(BF18="Early",Parameters!$B$73,Parameters!$B$72),6),IF(CH18=1,3,6),IF(CI18=1,3,6)))</f>
        <v>5</v>
      </c>
      <c r="CK18" s="10" t="str">
        <f aca="false">INDEX(Parameters!$F$2:$F$7,CJ18)</f>
        <v>Buy</v>
      </c>
      <c r="CL18" s="10" t="str">
        <f aca="false">IF(CF18=1,"Hard sell: breakdown; ","")&amp;IF(CE18=1,"Insufficient history; ","")&amp;IF(AND(CF18=0,CG18=1),"Below 200D; ","")&amp;IF(CH18=1,"Extended - wait for pullback; ","")&amp;IF(CI18=1,"Earnings within "&amp;Parameters!$B$77&amp;"d; ","")</f>
        <v/>
      </c>
    </row>
    <row r="19" customFormat="false" ht="15" hidden="false" customHeight="false" outlineLevel="0" collapsed="false">
      <c r="A19" s="10" t="s">
        <v>341</v>
      </c>
      <c r="B19" s="10" t="n">
        <v>7</v>
      </c>
      <c r="C19" s="10" t="n">
        <v>6</v>
      </c>
      <c r="D19" s="10" t="n">
        <v>35.5</v>
      </c>
      <c r="E19" s="10" t="n">
        <v>16</v>
      </c>
      <c r="F19" s="10" t="n">
        <v>10</v>
      </c>
      <c r="G19" s="10" t="s">
        <v>342</v>
      </c>
      <c r="H19" s="10" t="s">
        <v>343</v>
      </c>
      <c r="I19" s="10" t="n">
        <v>218.6</v>
      </c>
      <c r="J19" s="10" t="s">
        <v>295</v>
      </c>
      <c r="K19" s="10" t="s">
        <v>296</v>
      </c>
      <c r="L19" s="15" t="n">
        <v>5400959490000</v>
      </c>
      <c r="M19" s="16" t="n">
        <v>46260</v>
      </c>
      <c r="N19" s="10" t="n">
        <v>6.22</v>
      </c>
      <c r="O19" s="16" t="n">
        <v>46351</v>
      </c>
      <c r="P19" s="10" t="s">
        <v>297</v>
      </c>
      <c r="Q19" s="10" t="n">
        <v>-2.27</v>
      </c>
      <c r="R19" s="10" t="n">
        <v>-0.91</v>
      </c>
      <c r="S19" s="10" t="n">
        <v>-2.59</v>
      </c>
      <c r="T19" s="10" t="n">
        <v>4.26</v>
      </c>
      <c r="U19" s="10" t="n">
        <v>0.5</v>
      </c>
      <c r="V19" s="10" t="n">
        <v>9.07</v>
      </c>
      <c r="W19" s="10" t="n">
        <v>17.51</v>
      </c>
      <c r="X19" s="10" t="n">
        <v>28.01</v>
      </c>
      <c r="Y19" s="10"/>
      <c r="Z19" s="10"/>
      <c r="AA19" s="10"/>
      <c r="AB19" s="10"/>
      <c r="AC19" s="10" t="n">
        <v>4.43</v>
      </c>
      <c r="AD19" s="10" t="n">
        <v>-7.59</v>
      </c>
      <c r="AE19" s="10" t="n">
        <v>49.99</v>
      </c>
      <c r="AF19" s="10" t="n">
        <v>3.03</v>
      </c>
      <c r="AG19" s="10" t="n">
        <v>10.81</v>
      </c>
      <c r="AH19" s="10" t="s">
        <v>301</v>
      </c>
      <c r="AI19" s="10" t="n">
        <v>-0.13</v>
      </c>
      <c r="AJ19" s="10" t="n">
        <v>-22.34</v>
      </c>
      <c r="AK19" s="10" t="n">
        <v>125.9</v>
      </c>
      <c r="AL19" s="10" t="n">
        <v>105.9</v>
      </c>
      <c r="AM19" s="10" t="n">
        <v>63.66</v>
      </c>
      <c r="AN19" s="10" t="n">
        <v>117.21</v>
      </c>
      <c r="AO19" s="10" t="n">
        <v>14.84</v>
      </c>
      <c r="AP19" s="10" t="n">
        <v>0.23</v>
      </c>
      <c r="AQ19" s="10" t="n">
        <v>1.24</v>
      </c>
      <c r="AR19" s="10" t="n">
        <v>300</v>
      </c>
      <c r="AS19" s="16" t="n">
        <v>46275</v>
      </c>
      <c r="AT19" s="15" t="n">
        <v>302970011648</v>
      </c>
      <c r="AU19" s="15" t="n">
        <v>226241003520</v>
      </c>
      <c r="AV19" s="10" t="n">
        <v>74.67</v>
      </c>
      <c r="AW19" s="15" t="n">
        <v>192880001024</v>
      </c>
      <c r="AX19" s="15" t="n">
        <v>41809874944</v>
      </c>
      <c r="AY19" s="10" t="n">
        <v>13.8</v>
      </c>
      <c r="AZ19" s="15" t="n">
        <v>23608999936</v>
      </c>
      <c r="BA19" s="10" t="n">
        <v>33.07</v>
      </c>
      <c r="BB19" s="10" t="n">
        <v>75.17</v>
      </c>
      <c r="BC19" s="17" t="n">
        <f aca="false">IF(AND(ISNUMBER(O19),ISNUMBER(AS19)),O19-AS19,"")</f>
        <v>76</v>
      </c>
      <c r="BD19" s="10" t="n">
        <f aca="false">IF(OR(ISNUMBER(SEARCH("ETF",H19)),AND(F19="",AO19="")),1,0)</f>
        <v>0</v>
      </c>
      <c r="BE19" s="17" t="n">
        <f aca="false">IF(ISNUMBER(L19),IF(L19&gt;=Parameters!$B$3,2,IF(L19&gt;=Parameters!$B$4,1,0)),0)+IF(ISNUMBER(AW19),IF(AW19&gt;0,IF(AND(ISNUMBER(AM19),AM19&gt;=Parameters!$B$5),2,1),0),0)+IF(ISNUMBER(AX19),IF(AND(AX19&gt;0,ISNUMBER(AY19),AY19&gt;=Parameters!$B$6),1,0),0)+IF(ISNUMBER(AO19),IF(AND(AO19&gt;0,AO19&lt;=Parameters!$B$7),1,0),0)+IF(ISNUMBER(F19),IF(F19&gt;=Parameters!$B$8,1,0),0)</f>
        <v>7</v>
      </c>
      <c r="BF19" s="10" t="str">
        <f aca="false">IF(BD19=1,"ETF",IF(OR(AND(ISNUMBER(L19),L19&gt;=Parameters!$B$10),BE19&gt;=Parameters!$B$9),"Established","Early"))</f>
        <v>Established</v>
      </c>
      <c r="BG19" s="10" t="n">
        <f aca="false">IF(LEFT(AH19,6)="Golden",2,IF(LEFT(AH19,5)="Death",-2,0))</f>
        <v>2</v>
      </c>
      <c r="BH19" s="10" t="n">
        <f aca="false">IF(ISNUMBER(AG19),IF(AG19&gt;Parameters!$B$12,2,IF(AG19&gt;0,1,IF(AG19&gt;=Parameters!$B$13,-1,-2))),0)</f>
        <v>2</v>
      </c>
      <c r="BI19" s="10" t="n">
        <f aca="false">IF(ISNUMBER(AF19),IF(AND(AF19&gt;=Parameters!$B$14,AF19&lt;=Parameters!$B$15),1,IF(OR(AF19&gt;Parameters!$B$16,AF19&lt;Parameters!$B$17),-1,0)),0)</f>
        <v>1</v>
      </c>
      <c r="BJ19" s="10" t="n">
        <f aca="false">IF(ISNUMBER(AE19),IF(AND(AE19&gt;=Parameters!$B$18,AE19&lt;=Parameters!$B$19),1,IF(OR(AE19&gt;Parameters!$B$20,AE19&lt;Parameters!$B$21),-1,0)),0)</f>
        <v>1</v>
      </c>
      <c r="BK19" s="10" t="n">
        <f aca="false">IF(ISNUMBER(E19),IF(E19&gt;Parameters!$B$22,1,IF(E19&lt;Parameters!$B$23,-1,0)),0)</f>
        <v>1</v>
      </c>
      <c r="BL19" s="10" t="n">
        <f aca="false">IF(ISNUMBER(C19),IF(C19&gt;=Parameters!$B$24,1,IF(C19&lt;=Parameters!$B$25,-1,0)),0)</f>
        <v>0</v>
      </c>
      <c r="BM19" s="10" t="n">
        <f aca="false">IF(ISNUMBER(AJ19),IF(AND(AJ19&gt;Parameters!$B$26,ISNUMBER(U19)),IF(U19&lt;0,-1,1),0),0)</f>
        <v>0</v>
      </c>
      <c r="BN19" s="10" t="n">
        <f aca="false">IF(ISNUMBER(AD19),IF(AD19&gt;Parameters!$B$27,1,IF(AD19&lt;Parameters!$B$28,-1,0)),0)</f>
        <v>1</v>
      </c>
      <c r="BO19" s="17" t="n">
        <f aca="false">BG19+BH19+BI19+BJ19+BK19+BL19+BM19+BN19</f>
        <v>8</v>
      </c>
      <c r="BP19" s="10" t="n">
        <f aca="false">IF(ISNUMBER(F19),IF(F19&gt;=Parameters!$B$30,2,IF(F19&gt;=Parameters!$B$31,1,IF(F19&lt;=Parameters!$B$32,-1,0))),0)</f>
        <v>2</v>
      </c>
      <c r="BQ19" s="10" t="n">
        <f aca="false">IF(ISNUMBER(AK19),IF(AK19&gt;Parameters!$B$33,1,IF(AK19&lt;0,-1,0)),0)</f>
        <v>1</v>
      </c>
      <c r="BR19" s="10" t="n">
        <f aca="false">IF(ISNUMBER(AL19),IF(AL19&gt;Parameters!$B$34,1,IF(AL19&lt;0,-1,0)),0)</f>
        <v>1</v>
      </c>
      <c r="BS19" s="10" t="n">
        <f aca="false">IF(ISNUMBER(AP19),IF(AND(AP19&gt;0,AP19&lt;=Parameters!$B$35),1,IF(AP19&gt;Parameters!$B$36,-1,0)),0)</f>
        <v>1</v>
      </c>
      <c r="BT19" s="10" t="n">
        <f aca="false">IF(ISNUMBER(AY19),IF(AY19&gt;Parameters!$B$37,1,IF(AY19&lt;0,-1,0)),0)</f>
        <v>1</v>
      </c>
      <c r="BU19" s="10" t="n">
        <f aca="false">IF(ISNUMBER(AZ19),IF(AZ19&gt;0,1,0),0)</f>
        <v>1</v>
      </c>
      <c r="BV19" s="10" t="n">
        <f aca="false">IF(ISNUMBER(AL19),IF(AL19&gt;Parameters!$B$39,2,IF(AL19&gt;Parameters!$B$40,1,IF(AL19&lt;0,-2,IF(AL19&lt;Parameters!$B$41,-1,0)))),0)</f>
        <v>2</v>
      </c>
      <c r="BW19" s="10" t="n">
        <f aca="false">IF(ISNUMBER(AV19),IF(AV19&gt;Parameters!$B$42,1,IF(AV19&lt;Parameters!$B$43,-1,0)),0)</f>
        <v>1</v>
      </c>
      <c r="BX19" s="10" t="n">
        <f aca="false">IF(AND(ISNUMBER(AX19),AX19&gt;0),1,IF(AND(ISNUMBER(AY19),AY19&lt;Parameters!$B$44),-1,0))</f>
        <v>1</v>
      </c>
      <c r="BY19" s="10" t="n">
        <f aca="false">IF(ISNUMBER(AW19),IF(AW19&gt;0,1,0),0)</f>
        <v>1</v>
      </c>
      <c r="BZ19" s="10" t="n">
        <f aca="false">IF(ISNUMBER(AQ19),IF(AQ19&gt;Parameters!$B$46,-2,IF(AQ19&gt;Parameters!$B$45,-1,0)),0)</f>
        <v>0</v>
      </c>
      <c r="CA19" s="10" t="n">
        <f aca="false">IF(ISNUMBER(F19),IF(F19&gt;=Parameters!$B$47,1,IF(F19&lt;=Parameters!$B$48,-1,0)),0)</f>
        <v>1</v>
      </c>
      <c r="CB19" s="17" t="n">
        <f aca="false">IF(BF19="Established",BP19+BQ19+BR19+BS19+BT19+BU19,IF(BF19="Early",BV19+BW19+BX19+BY19+BZ19+CA19,0))</f>
        <v>7</v>
      </c>
      <c r="CC19" s="18" t="n">
        <f aca="false">IF(BF19="Established",BO19+CB19,IF(BF19="Early",BO19+Parameters!$B$50*CB19,BO19))</f>
        <v>15</v>
      </c>
      <c r="CD19" s="17" t="n">
        <f aca="false">IF(BF19="Established",IF(CC19&gt;=Parameters!$B$51,6,IF(CC19&gt;=Parameters!$B$52,5,IF(CC19&gt;=Parameters!$B$53,4,IF(CC19&gt;=Parameters!$B$54,3,IF(CC19&gt;=Parameters!$B$55,2,1))))),IF(BF19="Early",IF(CC19&gt;=Parameters!$B$56,5,IF(CC19&gt;=Parameters!$B$57,4,IF(CC19&gt;=Parameters!$B$58,3,IF(CC19&gt;=Parameters!$B$59,2,1)))),IF(CC19&gt;=Parameters!$B$60,6,IF(CC19&gt;=Parameters!$B$61,5,IF(CC19&gt;=Parameters!$B$62,4,IF(CC19&gt;=Parameters!$B$63,3,IF(CC19&gt;=Parameters!$B$64,2,1)))))))</f>
        <v>6</v>
      </c>
      <c r="CE19" s="10" t="n">
        <f aca="false">IF(AND(ISNUMBER(AR19),AR19&lt;Parameters!$B$66),1,0)</f>
        <v>0</v>
      </c>
      <c r="CF19" s="10" t="n">
        <f aca="false">IF(AND(LEFT(AH19,5)="Death",ISNUMBER(AG19)),IF(BF19="Early",IF(AND(AG19&lt;Parameters!$B$70,ISNUMBER(U19),U19&lt;Parameters!$B$71),1,0),IF(AND(AG19&lt;Parameters!$B$67,OR(AND(ISNUMBER(U19),U19&lt;Parameters!$B$68),AND(ISNUMBER(V19),V19&lt;Parameters!$B$69))),1,0)),0)</f>
        <v>0</v>
      </c>
      <c r="CG19" s="10" t="n">
        <f aca="false">IF(AND(ISNUMBER(AG19),AG19&lt;0),1,0)</f>
        <v>0</v>
      </c>
      <c r="CH19" s="10" t="n">
        <f aca="false">IF(OR(AND(ISNUMBER(U19),U19&gt;Parameters!$B$74),AND(ISNUMBER(AF19),AF19&gt;Parameters!$B$75),AND(ISNUMBER(AE19),AE19&gt;Parameters!$B$76)),1,0)</f>
        <v>0</v>
      </c>
      <c r="CI19" s="10" t="n">
        <f aca="false">IF(AND(ISNUMBER(BC19),BC19&gt;=0,BC19&lt;=Parameters!$B$77),1,0)</f>
        <v>0</v>
      </c>
      <c r="CJ19" s="17" t="n">
        <f aca="false">IF(CF19=1,1,MIN(CD19,IF(CE19=1,3,6),IF(CG19=1,IF(BF19="Early",Parameters!$B$73,Parameters!$B$72),6),IF(CH19=1,3,6),IF(CI19=1,3,6)))</f>
        <v>6</v>
      </c>
      <c r="CK19" s="10" t="str">
        <f aca="false">INDEX(Parameters!$F$2:$F$7,CJ19)</f>
        <v>Strong Buy</v>
      </c>
      <c r="CL19" s="10" t="str">
        <f aca="false">IF(CF19=1,"Hard sell: breakdown; ","")&amp;IF(CE19=1,"Insufficient history; ","")&amp;IF(AND(CF19=0,CG19=1),"Below 200D; ","")&amp;IF(CH19=1,"Extended - wait for pullback; ","")&amp;IF(CI19=1,"Earnings within "&amp;Parameters!$B$77&amp;"d; ","")</f>
        <v/>
      </c>
    </row>
    <row r="20" customFormat="false" ht="15" hidden="false" customHeight="false" outlineLevel="0" collapsed="false">
      <c r="A20" s="10" t="s">
        <v>344</v>
      </c>
      <c r="B20" s="10" t="n">
        <v>7</v>
      </c>
      <c r="C20" s="10" t="n">
        <v>6</v>
      </c>
      <c r="D20" s="10" t="n">
        <v>47.4</v>
      </c>
      <c r="E20" s="10" t="n">
        <v>5.7</v>
      </c>
      <c r="F20" s="10" t="n">
        <v>10</v>
      </c>
      <c r="G20" s="10" t="s">
        <v>345</v>
      </c>
      <c r="H20" s="10" t="s">
        <v>328</v>
      </c>
      <c r="I20" s="10" t="n">
        <v>493.51</v>
      </c>
      <c r="J20" s="10" t="s">
        <v>295</v>
      </c>
      <c r="K20" s="10" t="s">
        <v>296</v>
      </c>
      <c r="L20" s="15" t="n">
        <v>3650769366394</v>
      </c>
      <c r="M20" s="16" t="n">
        <v>46232</v>
      </c>
      <c r="N20" s="10" t="n">
        <v>11.79</v>
      </c>
      <c r="O20" s="16" t="n">
        <v>46323</v>
      </c>
      <c r="P20" s="10" t="s">
        <v>297</v>
      </c>
      <c r="Q20" s="10" t="n">
        <v>0.38</v>
      </c>
      <c r="R20" s="10" t="n">
        <v>-0.47</v>
      </c>
      <c r="S20" s="10" t="n">
        <v>-0.67</v>
      </c>
      <c r="T20" s="10" t="n">
        <v>-0.58</v>
      </c>
      <c r="U20" s="10" t="n">
        <v>-2.04</v>
      </c>
      <c r="V20" s="10" t="n">
        <v>24.2</v>
      </c>
      <c r="W20" s="10" t="n">
        <v>21.89</v>
      </c>
      <c r="X20" s="10" t="n">
        <v>-0.98</v>
      </c>
      <c r="Y20" s="10"/>
      <c r="Z20" s="10"/>
      <c r="AA20" s="10"/>
      <c r="AB20" s="10"/>
      <c r="AC20" s="10" t="n">
        <v>19.56</v>
      </c>
      <c r="AD20" s="10" t="n">
        <v>-10.87</v>
      </c>
      <c r="AE20" s="10" t="n">
        <v>55.55</v>
      </c>
      <c r="AF20" s="10" t="n">
        <v>9.31</v>
      </c>
      <c r="AG20" s="10" t="n">
        <v>14.46</v>
      </c>
      <c r="AH20" s="10" t="s">
        <v>346</v>
      </c>
      <c r="AI20" s="10" t="n">
        <v>-3.87</v>
      </c>
      <c r="AJ20" s="10" t="n">
        <v>-27.37</v>
      </c>
      <c r="AK20" s="10" t="n">
        <v>31.3</v>
      </c>
      <c r="AL20" s="10" t="n">
        <v>17.7</v>
      </c>
      <c r="AM20" s="10" t="n">
        <v>40.31</v>
      </c>
      <c r="AN20" s="10" t="n">
        <v>34.04</v>
      </c>
      <c r="AO20" s="10" t="n">
        <v>20.93</v>
      </c>
      <c r="AP20" s="10" t="n">
        <v>0.87</v>
      </c>
      <c r="AQ20" s="10" t="n">
        <v>0.92</v>
      </c>
      <c r="AR20" s="10" t="n">
        <v>300</v>
      </c>
      <c r="AS20" s="16" t="n">
        <v>46275</v>
      </c>
      <c r="AT20" s="15" t="n">
        <v>331839012864</v>
      </c>
      <c r="AU20" s="15" t="n">
        <v>225465008128</v>
      </c>
      <c r="AV20" s="10" t="n">
        <v>67.94</v>
      </c>
      <c r="AW20" s="15" t="n">
        <v>133748998144</v>
      </c>
      <c r="AX20" s="15" t="n">
        <v>16545500160</v>
      </c>
      <c r="AY20" s="10" t="n">
        <v>4.99</v>
      </c>
      <c r="AZ20" s="15" t="n">
        <v>-51969998848</v>
      </c>
      <c r="BA20" s="10" t="n">
        <v>41.33</v>
      </c>
      <c r="BB20" s="10" t="n">
        <v>70.56</v>
      </c>
      <c r="BC20" s="17" t="n">
        <f aca="false">IF(AND(ISNUMBER(O20),ISNUMBER(AS20)),O20-AS20,"")</f>
        <v>48</v>
      </c>
      <c r="BD20" s="10" t="n">
        <f aca="false">IF(OR(ISNUMBER(SEARCH("ETF",H20)),AND(F20="",AO20="")),1,0)</f>
        <v>0</v>
      </c>
      <c r="BE20" s="17" t="n">
        <f aca="false">IF(ISNUMBER(L20),IF(L20&gt;=Parameters!$B$3,2,IF(L20&gt;=Parameters!$B$4,1,0)),0)+IF(ISNUMBER(AW20),IF(AW20&gt;0,IF(AND(ISNUMBER(AM20),AM20&gt;=Parameters!$B$5),2,1),0),0)+IF(ISNUMBER(AX20),IF(AND(AX20&gt;0,ISNUMBER(AY20),AY20&gt;=Parameters!$B$6),1,0),0)+IF(ISNUMBER(AO20),IF(AND(AO20&gt;0,AO20&lt;=Parameters!$B$7),1,0),0)+IF(ISNUMBER(F20),IF(F20&gt;=Parameters!$B$8,1,0),0)</f>
        <v>6</v>
      </c>
      <c r="BF20" s="10" t="str">
        <f aca="false">IF(BD20=1,"ETF",IF(OR(AND(ISNUMBER(L20),L20&gt;=Parameters!$B$10),BE20&gt;=Parameters!$B$9),"Established","Early"))</f>
        <v>Established</v>
      </c>
      <c r="BG20" s="10" t="n">
        <f aca="false">IF(LEFT(AH20,6)="Golden",2,IF(LEFT(AH20,5)="Death",-2,0))</f>
        <v>2</v>
      </c>
      <c r="BH20" s="10" t="n">
        <f aca="false">IF(ISNUMBER(AG20),IF(AG20&gt;Parameters!$B$12,2,IF(AG20&gt;0,1,IF(AG20&gt;=Parameters!$B$13,-1,-2))),0)</f>
        <v>2</v>
      </c>
      <c r="BI20" s="10" t="n">
        <f aca="false">IF(ISNUMBER(AF20),IF(AND(AF20&gt;=Parameters!$B$14,AF20&lt;=Parameters!$B$15),1,IF(OR(AF20&gt;Parameters!$B$16,AF20&lt;Parameters!$B$17),-1,0)),0)</f>
        <v>0</v>
      </c>
      <c r="BJ20" s="10" t="n">
        <f aca="false">IF(ISNUMBER(AE20),IF(AND(AE20&gt;=Parameters!$B$18,AE20&lt;=Parameters!$B$19),1,IF(OR(AE20&gt;Parameters!$B$20,AE20&lt;Parameters!$B$21),-1,0)),0)</f>
        <v>1</v>
      </c>
      <c r="BK20" s="10" t="n">
        <f aca="false">IF(ISNUMBER(E20),IF(E20&gt;Parameters!$B$22,1,IF(E20&lt;Parameters!$B$23,-1,0)),0)</f>
        <v>1</v>
      </c>
      <c r="BL20" s="10" t="n">
        <f aca="false">IF(ISNUMBER(C20),IF(C20&gt;=Parameters!$B$24,1,IF(C20&lt;=Parameters!$B$25,-1,0)),0)</f>
        <v>0</v>
      </c>
      <c r="BM20" s="10" t="n">
        <f aca="false">IF(ISNUMBER(AJ20),IF(AND(AJ20&gt;Parameters!$B$26,ISNUMBER(U20)),IF(U20&lt;0,-1,1),0),0)</f>
        <v>0</v>
      </c>
      <c r="BN20" s="10" t="n">
        <f aca="false">IF(ISNUMBER(AD20),IF(AD20&gt;Parameters!$B$27,1,IF(AD20&lt;Parameters!$B$28,-1,0)),0)</f>
        <v>0</v>
      </c>
      <c r="BO20" s="17" t="n">
        <f aca="false">BG20+BH20+BI20+BJ20+BK20+BL20+BM20+BN20</f>
        <v>6</v>
      </c>
      <c r="BP20" s="10" t="n">
        <f aca="false">IF(ISNUMBER(F20),IF(F20&gt;=Parameters!$B$30,2,IF(F20&gt;=Parameters!$B$31,1,IF(F20&lt;=Parameters!$B$32,-1,0))),0)</f>
        <v>2</v>
      </c>
      <c r="BQ20" s="10" t="n">
        <f aca="false">IF(ISNUMBER(AK20),IF(AK20&gt;Parameters!$B$33,1,IF(AK20&lt;0,-1,0)),0)</f>
        <v>1</v>
      </c>
      <c r="BR20" s="10" t="n">
        <f aca="false">IF(ISNUMBER(AL20),IF(AL20&gt;Parameters!$B$34,1,IF(AL20&lt;0,-1,0)),0)</f>
        <v>1</v>
      </c>
      <c r="BS20" s="10" t="n">
        <f aca="false">IF(ISNUMBER(AP20),IF(AND(AP20&gt;0,AP20&lt;=Parameters!$B$35),1,IF(AP20&gt;Parameters!$B$36,-1,0)),0)</f>
        <v>1</v>
      </c>
      <c r="BT20" s="10" t="n">
        <f aca="false">IF(ISNUMBER(AY20),IF(AY20&gt;Parameters!$B$37,1,IF(AY20&lt;0,-1,0)),0)</f>
        <v>0</v>
      </c>
      <c r="BU20" s="10" t="n">
        <f aca="false">IF(ISNUMBER(AZ20),IF(AZ20&gt;0,1,0),0)</f>
        <v>0</v>
      </c>
      <c r="BV20" s="10" t="n">
        <f aca="false">IF(ISNUMBER(AL20),IF(AL20&gt;Parameters!$B$39,2,IF(AL20&gt;Parameters!$B$40,1,IF(AL20&lt;0,-2,IF(AL20&lt;Parameters!$B$41,-1,0)))),0)</f>
        <v>1</v>
      </c>
      <c r="BW20" s="10" t="n">
        <f aca="false">IF(ISNUMBER(AV20),IF(AV20&gt;Parameters!$B$42,1,IF(AV20&lt;Parameters!$B$43,-1,0)),0)</f>
        <v>1</v>
      </c>
      <c r="BX20" s="10" t="n">
        <f aca="false">IF(AND(ISNUMBER(AX20),AX20&gt;0),1,IF(AND(ISNUMBER(AY20),AY20&lt;Parameters!$B$44),-1,0))</f>
        <v>1</v>
      </c>
      <c r="BY20" s="10" t="n">
        <f aca="false">IF(ISNUMBER(AW20),IF(AW20&gt;0,1,0),0)</f>
        <v>1</v>
      </c>
      <c r="BZ20" s="10" t="n">
        <f aca="false">IF(ISNUMBER(AQ20),IF(AQ20&gt;Parameters!$B$46,-2,IF(AQ20&gt;Parameters!$B$45,-1,0)),0)</f>
        <v>0</v>
      </c>
      <c r="CA20" s="10" t="n">
        <f aca="false">IF(ISNUMBER(F20),IF(F20&gt;=Parameters!$B$47,1,IF(F20&lt;=Parameters!$B$48,-1,0)),0)</f>
        <v>1</v>
      </c>
      <c r="CB20" s="17" t="n">
        <f aca="false">IF(BF20="Established",BP20+BQ20+BR20+BS20+BT20+BU20,IF(BF20="Early",BV20+BW20+BX20+BY20+BZ20+CA20,0))</f>
        <v>5</v>
      </c>
      <c r="CC20" s="18" t="n">
        <f aca="false">IF(BF20="Established",BO20+CB20,IF(BF20="Early",BO20+Parameters!$B$50*CB20,BO20))</f>
        <v>11</v>
      </c>
      <c r="CD20" s="17" t="n">
        <f aca="false">IF(BF20="Established",IF(CC20&gt;=Parameters!$B$51,6,IF(CC20&gt;=Parameters!$B$52,5,IF(CC20&gt;=Parameters!$B$53,4,IF(CC20&gt;=Parameters!$B$54,3,IF(CC20&gt;=Parameters!$B$55,2,1))))),IF(BF20="Early",IF(CC20&gt;=Parameters!$B$56,5,IF(CC20&gt;=Parameters!$B$57,4,IF(CC20&gt;=Parameters!$B$58,3,IF(CC20&gt;=Parameters!$B$59,2,1)))),IF(CC20&gt;=Parameters!$B$60,6,IF(CC20&gt;=Parameters!$B$61,5,IF(CC20&gt;=Parameters!$B$62,4,IF(CC20&gt;=Parameters!$B$63,3,IF(CC20&gt;=Parameters!$B$64,2,1)))))))</f>
        <v>5</v>
      </c>
      <c r="CE20" s="10" t="n">
        <f aca="false">IF(AND(ISNUMBER(AR20),AR20&lt;Parameters!$B$66),1,0)</f>
        <v>0</v>
      </c>
      <c r="CF20" s="10" t="n">
        <f aca="false">IF(AND(LEFT(AH20,5)="Death",ISNUMBER(AG20)),IF(BF20="Early",IF(AND(AG20&lt;Parameters!$B$70,ISNUMBER(U20),U20&lt;Parameters!$B$71),1,0),IF(AND(AG20&lt;Parameters!$B$67,OR(AND(ISNUMBER(U20),U20&lt;Parameters!$B$68),AND(ISNUMBER(V20),V20&lt;Parameters!$B$69))),1,0)),0)</f>
        <v>0</v>
      </c>
      <c r="CG20" s="10" t="n">
        <f aca="false">IF(AND(ISNUMBER(AG20),AG20&lt;0),1,0)</f>
        <v>0</v>
      </c>
      <c r="CH20" s="10" t="n">
        <f aca="false">IF(OR(AND(ISNUMBER(U20),U20&gt;Parameters!$B$74),AND(ISNUMBER(AF20),AF20&gt;Parameters!$B$75),AND(ISNUMBER(AE20),AE20&gt;Parameters!$B$76)),1,0)</f>
        <v>0</v>
      </c>
      <c r="CI20" s="10" t="n">
        <f aca="false">IF(AND(ISNUMBER(BC20),BC20&gt;=0,BC20&lt;=Parameters!$B$77),1,0)</f>
        <v>0</v>
      </c>
      <c r="CJ20" s="17" t="n">
        <f aca="false">IF(CF20=1,1,MIN(CD20,IF(CE20=1,3,6),IF(CG20=1,IF(BF20="Early",Parameters!$B$73,Parameters!$B$72),6),IF(CH20=1,3,6),IF(CI20=1,3,6)))</f>
        <v>5</v>
      </c>
      <c r="CK20" s="10" t="str">
        <f aca="false">INDEX(Parameters!$F$2:$F$7,CJ20)</f>
        <v>Buy</v>
      </c>
      <c r="CL20" s="10" t="str">
        <f aca="false">IF(CF20=1,"Hard sell: breakdown; ","")&amp;IF(CE20=1,"Insufficient history; ","")&amp;IF(AND(CF20=0,CG20=1),"Below 200D; ","")&amp;IF(CH20=1,"Extended - wait for pullback; ","")&amp;IF(CI20=1,"Earnings within "&amp;Parameters!$B$77&amp;"d; ","")</f>
        <v/>
      </c>
    </row>
    <row r="21" customFormat="false" ht="15" hidden="false" customHeight="false" outlineLevel="0" collapsed="false">
      <c r="A21" s="10" t="s">
        <v>347</v>
      </c>
      <c r="B21" s="10" t="n">
        <v>7</v>
      </c>
      <c r="C21" s="10" t="n">
        <v>6</v>
      </c>
      <c r="D21" s="10" t="n">
        <v>61.8</v>
      </c>
      <c r="E21" s="10" t="n">
        <v>-5.8</v>
      </c>
      <c r="F21" s="10" t="n">
        <v>9</v>
      </c>
      <c r="G21" s="10" t="s">
        <v>348</v>
      </c>
      <c r="H21" s="10" t="s">
        <v>349</v>
      </c>
      <c r="I21" s="10" t="n">
        <v>1126.37</v>
      </c>
      <c r="J21" s="10" t="s">
        <v>295</v>
      </c>
      <c r="K21" s="10" t="s">
        <v>350</v>
      </c>
      <c r="L21" s="15" t="n">
        <v>1002504570369</v>
      </c>
      <c r="M21" s="16" t="n">
        <v>46239</v>
      </c>
      <c r="N21" s="10" t="n">
        <v>27.36</v>
      </c>
      <c r="O21" s="16" t="n">
        <v>46330</v>
      </c>
      <c r="P21" s="10" t="s">
        <v>297</v>
      </c>
      <c r="Q21" s="10" t="n">
        <v>0.19</v>
      </c>
      <c r="R21" s="10" t="n">
        <v>0.03</v>
      </c>
      <c r="S21" s="10" t="n">
        <v>-2.91</v>
      </c>
      <c r="T21" s="10" t="n">
        <v>-5.3</v>
      </c>
      <c r="U21" s="10" t="n">
        <v>-7.3</v>
      </c>
      <c r="V21" s="10" t="n">
        <v>-0.88</v>
      </c>
      <c r="W21" s="10" t="n">
        <v>12.66</v>
      </c>
      <c r="X21" s="10" t="n">
        <v>50.06</v>
      </c>
      <c r="Y21" s="10"/>
      <c r="Z21" s="10"/>
      <c r="AA21" s="10"/>
      <c r="AB21" s="10"/>
      <c r="AC21" s="10" t="n">
        <v>-5.52</v>
      </c>
      <c r="AD21" s="10" t="n">
        <v>-12.86</v>
      </c>
      <c r="AE21" s="10" t="n">
        <v>37.65</v>
      </c>
      <c r="AF21" s="10" t="n">
        <v>-5.05</v>
      </c>
      <c r="AG21" s="10" t="n">
        <v>5.8</v>
      </c>
      <c r="AH21" s="10" t="s">
        <v>301</v>
      </c>
      <c r="AI21" s="10" t="n">
        <v>-10.17</v>
      </c>
      <c r="AJ21" s="10" t="n">
        <v>-22</v>
      </c>
      <c r="AK21" s="10" t="n">
        <v>25.3</v>
      </c>
      <c r="AL21" s="10" t="n">
        <v>47.7</v>
      </c>
      <c r="AM21" s="10" t="n">
        <v>33.53</v>
      </c>
      <c r="AN21" s="10" t="n">
        <v>102.29</v>
      </c>
      <c r="AO21" s="10" t="n">
        <v>23.78</v>
      </c>
      <c r="AP21" s="10" t="n">
        <v>1.43</v>
      </c>
      <c r="AQ21" s="10" t="n">
        <v>0.74</v>
      </c>
      <c r="AR21" s="10" t="n">
        <v>300</v>
      </c>
      <c r="AS21" s="16" t="n">
        <v>46275</v>
      </c>
      <c r="AT21" s="15" t="n">
        <v>79666003968</v>
      </c>
      <c r="AU21" s="15" t="n">
        <v>66440998912</v>
      </c>
      <c r="AV21" s="10" t="n">
        <v>83.4</v>
      </c>
      <c r="AW21" s="15" t="n">
        <v>26710999040</v>
      </c>
      <c r="AX21" s="15" t="n">
        <v>11065900032</v>
      </c>
      <c r="AY21" s="10" t="n">
        <v>13.89</v>
      </c>
      <c r="AZ21" s="15" t="n">
        <v>-45957998592</v>
      </c>
      <c r="BA21" s="10" t="n">
        <v>58.19</v>
      </c>
      <c r="BB21" s="10" t="n">
        <v>71.36</v>
      </c>
      <c r="BC21" s="17" t="n">
        <f aca="false">IF(AND(ISNUMBER(O21),ISNUMBER(AS21)),O21-AS21,"")</f>
        <v>55</v>
      </c>
      <c r="BD21" s="10" t="n">
        <f aca="false">IF(OR(ISNUMBER(SEARCH("ETF",H21)),AND(F21="",AO21="")),1,0)</f>
        <v>0</v>
      </c>
      <c r="BE21" s="17" t="n">
        <f aca="false">IF(ISNUMBER(L21),IF(L21&gt;=Parameters!$B$3,2,IF(L21&gt;=Parameters!$B$4,1,0)),0)+IF(ISNUMBER(AW21),IF(AW21&gt;0,IF(AND(ISNUMBER(AM21),AM21&gt;=Parameters!$B$5),2,1),0),0)+IF(ISNUMBER(AX21),IF(AND(AX21&gt;0,ISNUMBER(AY21),AY21&gt;=Parameters!$B$6),1,0),0)+IF(ISNUMBER(AO21),IF(AND(AO21&gt;0,AO21&lt;=Parameters!$B$7),1,0),0)+IF(ISNUMBER(F21),IF(F21&gt;=Parameters!$B$8,1,0),0)</f>
        <v>7</v>
      </c>
      <c r="BF21" s="10" t="str">
        <f aca="false">IF(BD21=1,"ETF",IF(OR(AND(ISNUMBER(L21),L21&gt;=Parameters!$B$10),BE21&gt;=Parameters!$B$9),"Established","Early"))</f>
        <v>Established</v>
      </c>
      <c r="BG21" s="10" t="n">
        <f aca="false">IF(LEFT(AH21,6)="Golden",2,IF(LEFT(AH21,5)="Death",-2,0))</f>
        <v>2</v>
      </c>
      <c r="BH21" s="10" t="n">
        <f aca="false">IF(ISNUMBER(AG21),IF(AG21&gt;Parameters!$B$12,2,IF(AG21&gt;0,1,IF(AG21&gt;=Parameters!$B$13,-1,-2))),0)</f>
        <v>1</v>
      </c>
      <c r="BI21" s="10" t="n">
        <f aca="false">IF(ISNUMBER(AF21),IF(AND(AF21&gt;=Parameters!$B$14,AF21&lt;=Parameters!$B$15),1,IF(OR(AF21&gt;Parameters!$B$16,AF21&lt;Parameters!$B$17),-1,0)),0)</f>
        <v>0</v>
      </c>
      <c r="BJ21" s="10" t="n">
        <f aca="false">IF(ISNUMBER(AE21),IF(AND(AE21&gt;=Parameters!$B$18,AE21&lt;=Parameters!$B$19),1,IF(OR(AE21&gt;Parameters!$B$20,AE21&lt;Parameters!$B$21),-1,0)),0)</f>
        <v>0</v>
      </c>
      <c r="BK21" s="10" t="n">
        <f aca="false">IF(ISNUMBER(E21),IF(E21&gt;Parameters!$B$22,1,IF(E21&lt;Parameters!$B$23,-1,0)),0)</f>
        <v>-1</v>
      </c>
      <c r="BL21" s="10" t="n">
        <f aca="false">IF(ISNUMBER(C21),IF(C21&gt;=Parameters!$B$24,1,IF(C21&lt;=Parameters!$B$25,-1,0)),0)</f>
        <v>0</v>
      </c>
      <c r="BM21" s="10" t="n">
        <f aca="false">IF(ISNUMBER(AJ21),IF(AND(AJ21&gt;Parameters!$B$26,ISNUMBER(U21)),IF(U21&lt;0,-1,1),0),0)</f>
        <v>0</v>
      </c>
      <c r="BN21" s="10" t="n">
        <f aca="false">IF(ISNUMBER(AD21),IF(AD21&gt;Parameters!$B$27,1,IF(AD21&lt;Parameters!$B$28,-1,0)),0)</f>
        <v>0</v>
      </c>
      <c r="BO21" s="17" t="n">
        <f aca="false">BG21+BH21+BI21+BJ21+BK21+BL21+BM21+BN21</f>
        <v>2</v>
      </c>
      <c r="BP21" s="10" t="n">
        <f aca="false">IF(ISNUMBER(F21),IF(F21&gt;=Parameters!$B$30,2,IF(F21&gt;=Parameters!$B$31,1,IF(F21&lt;=Parameters!$B$32,-1,0))),0)</f>
        <v>2</v>
      </c>
      <c r="BQ21" s="10" t="n">
        <f aca="false">IF(ISNUMBER(AK21),IF(AK21&gt;Parameters!$B$33,1,IF(AK21&lt;0,-1,0)),0)</f>
        <v>1</v>
      </c>
      <c r="BR21" s="10" t="n">
        <f aca="false">IF(ISNUMBER(AL21),IF(AL21&gt;Parameters!$B$34,1,IF(AL21&lt;0,-1,0)),0)</f>
        <v>1</v>
      </c>
      <c r="BS21" s="10" t="n">
        <f aca="false">IF(ISNUMBER(AP21),IF(AND(AP21&gt;0,AP21&lt;=Parameters!$B$35),1,IF(AP21&gt;Parameters!$B$36,-1,0)),0)</f>
        <v>1</v>
      </c>
      <c r="BT21" s="10" t="n">
        <f aca="false">IF(ISNUMBER(AY21),IF(AY21&gt;Parameters!$B$37,1,IF(AY21&lt;0,-1,0)),0)</f>
        <v>1</v>
      </c>
      <c r="BU21" s="10" t="n">
        <f aca="false">IF(ISNUMBER(AZ21),IF(AZ21&gt;0,1,0),0)</f>
        <v>0</v>
      </c>
      <c r="BV21" s="10" t="n">
        <f aca="false">IF(ISNUMBER(AL21),IF(AL21&gt;Parameters!$B$39,2,IF(AL21&gt;Parameters!$B$40,1,IF(AL21&lt;0,-2,IF(AL21&lt;Parameters!$B$41,-1,0)))),0)</f>
        <v>2</v>
      </c>
      <c r="BW21" s="10" t="n">
        <f aca="false">IF(ISNUMBER(AV21),IF(AV21&gt;Parameters!$B$42,1,IF(AV21&lt;Parameters!$B$43,-1,0)),0)</f>
        <v>1</v>
      </c>
      <c r="BX21" s="10" t="n">
        <f aca="false">IF(AND(ISNUMBER(AX21),AX21&gt;0),1,IF(AND(ISNUMBER(AY21),AY21&lt;Parameters!$B$44),-1,0))</f>
        <v>1</v>
      </c>
      <c r="BY21" s="10" t="n">
        <f aca="false">IF(ISNUMBER(AW21),IF(AW21&gt;0,1,0),0)</f>
        <v>1</v>
      </c>
      <c r="BZ21" s="10" t="n">
        <f aca="false">IF(ISNUMBER(AQ21),IF(AQ21&gt;Parameters!$B$46,-2,IF(AQ21&gt;Parameters!$B$45,-1,0)),0)</f>
        <v>0</v>
      </c>
      <c r="CA21" s="10" t="n">
        <f aca="false">IF(ISNUMBER(F21),IF(F21&gt;=Parameters!$B$47,1,IF(F21&lt;=Parameters!$B$48,-1,0)),0)</f>
        <v>1</v>
      </c>
      <c r="CB21" s="17" t="n">
        <f aca="false">IF(BF21="Established",BP21+BQ21+BR21+BS21+BT21+BU21,IF(BF21="Early",BV21+BW21+BX21+BY21+BZ21+CA21,0))</f>
        <v>6</v>
      </c>
      <c r="CC21" s="18" t="n">
        <f aca="false">IF(BF21="Established",BO21+CB21,IF(BF21="Early",BO21+Parameters!$B$50*CB21,BO21))</f>
        <v>8</v>
      </c>
      <c r="CD21" s="17" t="n">
        <f aca="false">IF(BF21="Established",IF(CC21&gt;=Parameters!$B$51,6,IF(CC21&gt;=Parameters!$B$52,5,IF(CC21&gt;=Parameters!$B$53,4,IF(CC21&gt;=Parameters!$B$54,3,IF(CC21&gt;=Parameters!$B$55,2,1))))),IF(BF21="Early",IF(CC21&gt;=Parameters!$B$56,5,IF(CC21&gt;=Parameters!$B$57,4,IF(CC21&gt;=Parameters!$B$58,3,IF(CC21&gt;=Parameters!$B$59,2,1)))),IF(CC21&gt;=Parameters!$B$60,6,IF(CC21&gt;=Parameters!$B$61,5,IF(CC21&gt;=Parameters!$B$62,4,IF(CC21&gt;=Parameters!$B$63,3,IF(CC21&gt;=Parameters!$B$64,2,1)))))))</f>
        <v>4</v>
      </c>
      <c r="CE21" s="10" t="n">
        <f aca="false">IF(AND(ISNUMBER(AR21),AR21&lt;Parameters!$B$66),1,0)</f>
        <v>0</v>
      </c>
      <c r="CF21" s="10" t="n">
        <f aca="false">IF(AND(LEFT(AH21,5)="Death",ISNUMBER(AG21)),IF(BF21="Early",IF(AND(AG21&lt;Parameters!$B$70,ISNUMBER(U21),U21&lt;Parameters!$B$71),1,0),IF(AND(AG21&lt;Parameters!$B$67,OR(AND(ISNUMBER(U21),U21&lt;Parameters!$B$68),AND(ISNUMBER(V21),V21&lt;Parameters!$B$69))),1,0)),0)</f>
        <v>0</v>
      </c>
      <c r="CG21" s="10" t="n">
        <f aca="false">IF(AND(ISNUMBER(AG21),AG21&lt;0),1,0)</f>
        <v>0</v>
      </c>
      <c r="CH21" s="10" t="n">
        <f aca="false">IF(OR(AND(ISNUMBER(U21),U21&gt;Parameters!$B$74),AND(ISNUMBER(AF21),AF21&gt;Parameters!$B$75),AND(ISNUMBER(AE21),AE21&gt;Parameters!$B$76)),1,0)</f>
        <v>0</v>
      </c>
      <c r="CI21" s="10" t="n">
        <f aca="false">IF(AND(ISNUMBER(BC21),BC21&gt;=0,BC21&lt;=Parameters!$B$77),1,0)</f>
        <v>0</v>
      </c>
      <c r="CJ21" s="17" t="n">
        <f aca="false">IF(CF21=1,1,MIN(CD21,IF(CE21=1,3,6),IF(CG21=1,IF(BF21="Early",Parameters!$B$73,Parameters!$B$72),6),IF(CH21=1,3,6),IF(CI21=1,3,6)))</f>
        <v>4</v>
      </c>
      <c r="CK21" s="10" t="str">
        <f aca="false">INDEX(Parameters!$F$2:$F$7,CJ21)</f>
        <v>Buy with Risk</v>
      </c>
      <c r="CL21" s="10" t="str">
        <f aca="false">IF(CF21=1,"Hard sell: breakdown; ","")&amp;IF(CE21=1,"Insufficient history; ","")&amp;IF(AND(CF21=0,CG21=1),"Below 200D; ","")&amp;IF(CH21=1,"Extended - wait for pullback; ","")&amp;IF(CI21=1,"Earnings within "&amp;Parameters!$B$77&amp;"d; ","")</f>
        <v/>
      </c>
    </row>
    <row r="22" customFormat="false" ht="15" hidden="false" customHeight="false" outlineLevel="0" collapsed="false">
      <c r="A22" s="10" t="s">
        <v>351</v>
      </c>
      <c r="B22" s="10" t="n">
        <v>7</v>
      </c>
      <c r="C22" s="10" t="n">
        <v>8</v>
      </c>
      <c r="D22" s="10" t="n">
        <v>70.8</v>
      </c>
      <c r="E22" s="10" t="n">
        <v>6.8</v>
      </c>
      <c r="F22" s="10" t="n">
        <v>5</v>
      </c>
      <c r="G22" s="10" t="s">
        <v>352</v>
      </c>
      <c r="H22" s="10" t="s">
        <v>353</v>
      </c>
      <c r="I22" s="10" t="n">
        <v>214.05</v>
      </c>
      <c r="J22" s="10" t="s">
        <v>295</v>
      </c>
      <c r="K22" s="10" t="s">
        <v>296</v>
      </c>
      <c r="L22" s="15" t="n">
        <v>212773660167</v>
      </c>
      <c r="M22" s="16" t="n">
        <v>46260</v>
      </c>
      <c r="N22" s="10" t="n">
        <v>6.9</v>
      </c>
      <c r="O22" s="16" t="n">
        <v>46351</v>
      </c>
      <c r="P22" s="10" t="s">
        <v>297</v>
      </c>
      <c r="Q22" s="10" t="n">
        <v>3.01</v>
      </c>
      <c r="R22" s="10" t="n">
        <v>-1.06</v>
      </c>
      <c r="S22" s="10" t="n">
        <v>5.22</v>
      </c>
      <c r="T22" s="10" t="n">
        <v>13.14</v>
      </c>
      <c r="U22" s="10" t="n">
        <v>-3.54</v>
      </c>
      <c r="V22" s="10" t="n">
        <v>32.18</v>
      </c>
      <c r="W22" s="10" t="n">
        <v>93.69</v>
      </c>
      <c r="X22" s="10" t="n">
        <v>102.16</v>
      </c>
      <c r="Y22" s="10"/>
      <c r="Z22" s="10"/>
      <c r="AA22" s="10"/>
      <c r="AB22" s="10"/>
      <c r="AC22" s="10" t="n">
        <v>27.54</v>
      </c>
      <c r="AD22" s="10" t="n">
        <v>-8.48</v>
      </c>
      <c r="AE22" s="10" t="n">
        <v>53.52</v>
      </c>
      <c r="AF22" s="10" t="n">
        <v>5.75</v>
      </c>
      <c r="AG22" s="10" t="n">
        <v>48.92</v>
      </c>
      <c r="AH22" s="10" t="s">
        <v>354</v>
      </c>
      <c r="AI22" s="10" t="n">
        <v>-0.33</v>
      </c>
      <c r="AJ22" s="10" t="n">
        <v>-30.84</v>
      </c>
      <c r="AK22" s="10" t="n">
        <v>25.83</v>
      </c>
      <c r="AL22" s="10" t="n">
        <v>25.8</v>
      </c>
      <c r="AM22" s="10" t="n">
        <v>0.83</v>
      </c>
      <c r="AN22" s="10" t="n">
        <v>1.46</v>
      </c>
      <c r="AO22" s="10" t="n">
        <v>130.81</v>
      </c>
      <c r="AP22" s="10" t="n">
        <v>-46.45</v>
      </c>
      <c r="AQ22" s="10" t="n">
        <v>2.4</v>
      </c>
      <c r="AR22" s="10" t="n">
        <v>300</v>
      </c>
      <c r="AS22" s="16" t="n">
        <v>46275</v>
      </c>
      <c r="AT22" s="15" t="n">
        <v>5396145152</v>
      </c>
      <c r="AU22" s="15" t="n">
        <v>4057167872</v>
      </c>
      <c r="AV22" s="10" t="n">
        <v>75.19</v>
      </c>
      <c r="AW22" s="15" t="n">
        <v>44995000</v>
      </c>
      <c r="AX22" s="15" t="n">
        <v>1995385472</v>
      </c>
      <c r="AY22" s="10" t="n">
        <v>36.98</v>
      </c>
      <c r="AZ22" s="15" t="n">
        <v>4193668032</v>
      </c>
      <c r="BA22" s="10" t="n">
        <v>149.82</v>
      </c>
      <c r="BB22" s="10" t="n">
        <v>86.62</v>
      </c>
      <c r="BC22" s="17" t="n">
        <f aca="false">IF(AND(ISNUMBER(O22),ISNUMBER(AS22)),O22-AS22,"")</f>
        <v>76</v>
      </c>
      <c r="BD22" s="10" t="n">
        <f aca="false">IF(OR(ISNUMBER(SEARCH("ETF",H22)),AND(F22="",AO22="")),1,0)</f>
        <v>0</v>
      </c>
      <c r="BE22" s="17" t="n">
        <f aca="false">IF(ISNUMBER(L22),IF(L22&gt;=Parameters!$B$3,2,IF(L22&gt;=Parameters!$B$4,1,0)),0)+IF(ISNUMBER(AW22),IF(AW22&gt;0,IF(AND(ISNUMBER(AM22),AM22&gt;=Parameters!$B$5),2,1),0),0)+IF(ISNUMBER(AX22),IF(AND(AX22&gt;0,ISNUMBER(AY22),AY22&gt;=Parameters!$B$6),1,0),0)+IF(ISNUMBER(AO22),IF(AND(AO22&gt;0,AO22&lt;=Parameters!$B$7),1,0),0)+IF(ISNUMBER(F22),IF(F22&gt;=Parameters!$B$8,1,0),0)</f>
        <v>4</v>
      </c>
      <c r="BF22" s="10" t="str">
        <f aca="false">IF(BD22=1,"ETF",IF(OR(AND(ISNUMBER(L22),L22&gt;=Parameters!$B$10),BE22&gt;=Parameters!$B$9),"Established","Early"))</f>
        <v>Established</v>
      </c>
      <c r="BG22" s="10" t="n">
        <f aca="false">IF(LEFT(AH22,6)="Golden",2,IF(LEFT(AH22,5)="Death",-2,0))</f>
        <v>2</v>
      </c>
      <c r="BH22" s="10" t="n">
        <f aca="false">IF(ISNUMBER(AG22),IF(AG22&gt;Parameters!$B$12,2,IF(AG22&gt;0,1,IF(AG22&gt;=Parameters!$B$13,-1,-2))),0)</f>
        <v>2</v>
      </c>
      <c r="BI22" s="10" t="n">
        <f aca="false">IF(ISNUMBER(AF22),IF(AND(AF22&gt;=Parameters!$B$14,AF22&lt;=Parameters!$B$15),1,IF(OR(AF22&gt;Parameters!$B$16,AF22&lt;Parameters!$B$17),-1,0)),0)</f>
        <v>1</v>
      </c>
      <c r="BJ22" s="10" t="n">
        <f aca="false">IF(ISNUMBER(AE22),IF(AND(AE22&gt;=Parameters!$B$18,AE22&lt;=Parameters!$B$19),1,IF(OR(AE22&gt;Parameters!$B$20,AE22&lt;Parameters!$B$21),-1,0)),0)</f>
        <v>1</v>
      </c>
      <c r="BK22" s="10" t="n">
        <f aca="false">IF(ISNUMBER(E22),IF(E22&gt;Parameters!$B$22,1,IF(E22&lt;Parameters!$B$23,-1,0)),0)</f>
        <v>1</v>
      </c>
      <c r="BL22" s="10" t="n">
        <f aca="false">IF(ISNUMBER(C22),IF(C22&gt;=Parameters!$B$24,1,IF(C22&lt;=Parameters!$B$25,-1,0)),0)</f>
        <v>1</v>
      </c>
      <c r="BM22" s="10" t="n">
        <f aca="false">IF(ISNUMBER(AJ22),IF(AND(AJ22&gt;Parameters!$B$26,ISNUMBER(U22)),IF(U22&lt;0,-1,1),0),0)</f>
        <v>0</v>
      </c>
      <c r="BN22" s="10" t="n">
        <f aca="false">IF(ISNUMBER(AD22),IF(AD22&gt;Parameters!$B$27,1,IF(AD22&lt;Parameters!$B$28,-1,0)),0)</f>
        <v>1</v>
      </c>
      <c r="BO22" s="17" t="n">
        <f aca="false">BG22+BH22+BI22+BJ22+BK22+BL22+BM22+BN22</f>
        <v>9</v>
      </c>
      <c r="BP22" s="10" t="n">
        <f aca="false">IF(ISNUMBER(F22),IF(F22&gt;=Parameters!$B$30,2,IF(F22&gt;=Parameters!$B$31,1,IF(F22&lt;=Parameters!$B$32,-1,0))),0)</f>
        <v>0</v>
      </c>
      <c r="BQ22" s="10" t="n">
        <f aca="false">IF(ISNUMBER(AK22),IF(AK22&gt;Parameters!$B$33,1,IF(AK22&lt;0,-1,0)),0)</f>
        <v>1</v>
      </c>
      <c r="BR22" s="10" t="n">
        <f aca="false">IF(ISNUMBER(AL22),IF(AL22&gt;Parameters!$B$34,1,IF(AL22&lt;0,-1,0)),0)</f>
        <v>1</v>
      </c>
      <c r="BS22" s="10" t="n">
        <f aca="false">IF(ISNUMBER(AP22),IF(AND(AP22&gt;0,AP22&lt;=Parameters!$B$35),1,IF(AP22&gt;Parameters!$B$36,-1,0)),0)</f>
        <v>0</v>
      </c>
      <c r="BT22" s="10" t="n">
        <f aca="false">IF(ISNUMBER(AY22),IF(AY22&gt;Parameters!$B$37,1,IF(AY22&lt;0,-1,0)),0)</f>
        <v>1</v>
      </c>
      <c r="BU22" s="10" t="n">
        <f aca="false">IF(ISNUMBER(AZ22),IF(AZ22&gt;0,1,0),0)</f>
        <v>1</v>
      </c>
      <c r="BV22" s="10" t="n">
        <f aca="false">IF(ISNUMBER(AL22),IF(AL22&gt;Parameters!$B$39,2,IF(AL22&gt;Parameters!$B$40,1,IF(AL22&lt;0,-2,IF(AL22&lt;Parameters!$B$41,-1,0)))),0)</f>
        <v>1</v>
      </c>
      <c r="BW22" s="10" t="n">
        <f aca="false">IF(ISNUMBER(AV22),IF(AV22&gt;Parameters!$B$42,1,IF(AV22&lt;Parameters!$B$43,-1,0)),0)</f>
        <v>1</v>
      </c>
      <c r="BX22" s="10" t="n">
        <f aca="false">IF(AND(ISNUMBER(AX22),AX22&gt;0),1,IF(AND(ISNUMBER(AY22),AY22&lt;Parameters!$B$44),-1,0))</f>
        <v>1</v>
      </c>
      <c r="BY22" s="10" t="n">
        <f aca="false">IF(ISNUMBER(AW22),IF(AW22&gt;0,1,0),0)</f>
        <v>1</v>
      </c>
      <c r="BZ22" s="10" t="n">
        <f aca="false">IF(ISNUMBER(AQ22),IF(AQ22&gt;Parameters!$B$46,-2,IF(AQ22&gt;Parameters!$B$45,-1,0)),0)</f>
        <v>0</v>
      </c>
      <c r="CA22" s="10" t="n">
        <f aca="false">IF(ISNUMBER(F22),IF(F22&gt;=Parameters!$B$47,1,IF(F22&lt;=Parameters!$B$48,-1,0)),0)</f>
        <v>0</v>
      </c>
      <c r="CB22" s="17" t="n">
        <f aca="false">IF(BF22="Established",BP22+BQ22+BR22+BS22+BT22+BU22,IF(BF22="Early",BV22+BW22+BX22+BY22+BZ22+CA22,0))</f>
        <v>4</v>
      </c>
      <c r="CC22" s="18" t="n">
        <f aca="false">IF(BF22="Established",BO22+CB22,IF(BF22="Early",BO22+Parameters!$B$50*CB22,BO22))</f>
        <v>13</v>
      </c>
      <c r="CD22" s="17" t="n">
        <f aca="false">IF(BF22="Established",IF(CC22&gt;=Parameters!$B$51,6,IF(CC22&gt;=Parameters!$B$52,5,IF(CC22&gt;=Parameters!$B$53,4,IF(CC22&gt;=Parameters!$B$54,3,IF(CC22&gt;=Parameters!$B$55,2,1))))),IF(BF22="Early",IF(CC22&gt;=Parameters!$B$56,5,IF(CC22&gt;=Parameters!$B$57,4,IF(CC22&gt;=Parameters!$B$58,3,IF(CC22&gt;=Parameters!$B$59,2,1)))),IF(CC22&gt;=Parameters!$B$60,6,IF(CC22&gt;=Parameters!$B$61,5,IF(CC22&gt;=Parameters!$B$62,4,IF(CC22&gt;=Parameters!$B$63,3,IF(CC22&gt;=Parameters!$B$64,2,1)))))))</f>
        <v>6</v>
      </c>
      <c r="CE22" s="10" t="n">
        <f aca="false">IF(AND(ISNUMBER(AR22),AR22&lt;Parameters!$B$66),1,0)</f>
        <v>0</v>
      </c>
      <c r="CF22" s="10" t="n">
        <f aca="false">IF(AND(LEFT(AH22,5)="Death",ISNUMBER(AG22)),IF(BF22="Early",IF(AND(AG22&lt;Parameters!$B$70,ISNUMBER(U22),U22&lt;Parameters!$B$71),1,0),IF(AND(AG22&lt;Parameters!$B$67,OR(AND(ISNUMBER(U22),U22&lt;Parameters!$B$68),AND(ISNUMBER(V22),V22&lt;Parameters!$B$69))),1,0)),0)</f>
        <v>0</v>
      </c>
      <c r="CG22" s="10" t="n">
        <f aca="false">IF(AND(ISNUMBER(AG22),AG22&lt;0),1,0)</f>
        <v>0</v>
      </c>
      <c r="CH22" s="10" t="n">
        <f aca="false">IF(OR(AND(ISNUMBER(U22),U22&gt;Parameters!$B$74),AND(ISNUMBER(AF22),AF22&gt;Parameters!$B$75),AND(ISNUMBER(AE22),AE22&gt;Parameters!$B$76)),1,0)</f>
        <v>0</v>
      </c>
      <c r="CI22" s="10" t="n">
        <f aca="false">IF(AND(ISNUMBER(BC22),BC22&gt;=0,BC22&lt;=Parameters!$B$77),1,0)</f>
        <v>0</v>
      </c>
      <c r="CJ22" s="17" t="n">
        <f aca="false">IF(CF22=1,1,MIN(CD22,IF(CE22=1,3,6),IF(CG22=1,IF(BF22="Early",Parameters!$B$73,Parameters!$B$72),6),IF(CH22=1,3,6),IF(CI22=1,3,6)))</f>
        <v>6</v>
      </c>
      <c r="CK22" s="10" t="str">
        <f aca="false">INDEX(Parameters!$F$2:$F$7,CJ22)</f>
        <v>Strong Buy</v>
      </c>
      <c r="CL22" s="10" t="str">
        <f aca="false">IF(CF22=1,"Hard sell: breakdown; ","")&amp;IF(CE22=1,"Insufficient history; ","")&amp;IF(AND(CF22=0,CG22=1),"Below 200D; ","")&amp;IF(CH22=1,"Extended - wait for pullback; ","")&amp;IF(CI22=1,"Earnings within "&amp;Parameters!$B$77&amp;"d; ","")</f>
        <v/>
      </c>
    </row>
    <row r="23" customFormat="false" ht="15" hidden="false" customHeight="false" outlineLevel="0" collapsed="false">
      <c r="A23" s="10" t="s">
        <v>355</v>
      </c>
      <c r="B23" s="10" t="n">
        <v>7</v>
      </c>
      <c r="C23" s="10" t="n">
        <v>8</v>
      </c>
      <c r="D23" s="10" t="n">
        <v>77.6</v>
      </c>
      <c r="E23" s="10" t="n">
        <v>-2.7</v>
      </c>
      <c r="F23" s="10" t="n">
        <v>6</v>
      </c>
      <c r="G23" s="10" t="s">
        <v>356</v>
      </c>
      <c r="H23" s="10" t="s">
        <v>353</v>
      </c>
      <c r="I23" s="10" t="n">
        <v>342.95</v>
      </c>
      <c r="J23" s="10" t="s">
        <v>295</v>
      </c>
      <c r="K23" s="10" t="s">
        <v>296</v>
      </c>
      <c r="L23" s="15" t="n">
        <v>273106508150</v>
      </c>
      <c r="M23" s="16" t="n">
        <v>46266</v>
      </c>
      <c r="N23" s="10" t="n">
        <v>4.08</v>
      </c>
      <c r="O23" s="16" t="n">
        <v>46357</v>
      </c>
      <c r="P23" s="10" t="s">
        <v>297</v>
      </c>
      <c r="Q23" s="10" t="n">
        <v>2.34</v>
      </c>
      <c r="R23" s="10" t="n">
        <v>-0.56</v>
      </c>
      <c r="S23" s="10" t="n">
        <v>4.4</v>
      </c>
      <c r="T23" s="10" t="n">
        <v>1.07</v>
      </c>
      <c r="U23" s="10" t="n">
        <v>-10.64</v>
      </c>
      <c r="V23" s="10" t="n">
        <v>30.29</v>
      </c>
      <c r="W23" s="10" t="n">
        <v>107.93</v>
      </c>
      <c r="X23" s="10" t="n">
        <v>73.6</v>
      </c>
      <c r="Y23" s="10"/>
      <c r="Z23" s="10"/>
      <c r="AA23" s="10"/>
      <c r="AB23" s="10"/>
      <c r="AC23" s="10" t="n">
        <v>25.65</v>
      </c>
      <c r="AD23" s="10" t="n">
        <v>-14.02</v>
      </c>
      <c r="AE23" s="10" t="n">
        <v>47.4</v>
      </c>
      <c r="AF23" s="10" t="n">
        <v>-2.03</v>
      </c>
      <c r="AG23" s="10" t="n">
        <v>45.8</v>
      </c>
      <c r="AH23" s="10" t="s">
        <v>357</v>
      </c>
      <c r="AI23" s="10" t="n">
        <v>-3.97</v>
      </c>
      <c r="AJ23" s="10" t="n">
        <v>-20.52</v>
      </c>
      <c r="AK23" s="10" t="n">
        <v>31.15</v>
      </c>
      <c r="AL23" s="10" t="n">
        <v>34.4</v>
      </c>
      <c r="AM23" s="10" t="n">
        <v>2.67</v>
      </c>
      <c r="AN23" s="10" t="n">
        <v>1.74</v>
      </c>
      <c r="AO23" s="10" t="n">
        <v>68.28</v>
      </c>
      <c r="AP23" s="10" t="n">
        <v>-1.85</v>
      </c>
      <c r="AQ23" s="10" t="n">
        <v>2.77</v>
      </c>
      <c r="AR23" s="10" t="n">
        <v>300</v>
      </c>
      <c r="AS23" s="16" t="n">
        <v>46275</v>
      </c>
      <c r="AT23" s="15" t="n">
        <v>11480000512</v>
      </c>
      <c r="AU23" s="15" t="n">
        <v>8092000256</v>
      </c>
      <c r="AV23" s="10" t="n">
        <v>70.49</v>
      </c>
      <c r="AW23" s="15" t="n">
        <v>307000000</v>
      </c>
      <c r="AX23" s="15" t="n">
        <v>4469550080</v>
      </c>
      <c r="AY23" s="10" t="n">
        <v>38.93</v>
      </c>
      <c r="AZ23" s="15" t="n">
        <v>571000064</v>
      </c>
      <c r="BA23" s="10" t="n">
        <v>145.72</v>
      </c>
      <c r="BB23" s="10" t="n">
        <v>78.43</v>
      </c>
      <c r="BC23" s="17" t="n">
        <f aca="false">IF(AND(ISNUMBER(O23),ISNUMBER(AS23)),O23-AS23,"")</f>
        <v>82</v>
      </c>
      <c r="BD23" s="10" t="n">
        <f aca="false">IF(OR(ISNUMBER(SEARCH("ETF",H23)),AND(F23="",AO23="")),1,0)</f>
        <v>0</v>
      </c>
      <c r="BE23" s="17" t="n">
        <f aca="false">IF(ISNUMBER(L23),IF(L23&gt;=Parameters!$B$3,2,IF(L23&gt;=Parameters!$B$4,1,0)),0)+IF(ISNUMBER(AW23),IF(AW23&gt;0,IF(AND(ISNUMBER(AM23),AM23&gt;=Parameters!$B$5),2,1),0),0)+IF(ISNUMBER(AX23),IF(AND(AX23&gt;0,ISNUMBER(AY23),AY23&gt;=Parameters!$B$6),1,0),0)+IF(ISNUMBER(AO23),IF(AND(AO23&gt;0,AO23&lt;=Parameters!$B$7),1,0),0)+IF(ISNUMBER(F23),IF(F23&gt;=Parameters!$B$8,1,0),0)</f>
        <v>4</v>
      </c>
      <c r="BF23" s="10" t="str">
        <f aca="false">IF(BD23=1,"ETF",IF(OR(AND(ISNUMBER(L23),L23&gt;=Parameters!$B$10),BE23&gt;=Parameters!$B$9),"Established","Early"))</f>
        <v>Established</v>
      </c>
      <c r="BG23" s="10" t="n">
        <f aca="false">IF(LEFT(AH23,6)="Golden",2,IF(LEFT(AH23,5)="Death",-2,0))</f>
        <v>2</v>
      </c>
      <c r="BH23" s="10" t="n">
        <f aca="false">IF(ISNUMBER(AG23),IF(AG23&gt;Parameters!$B$12,2,IF(AG23&gt;0,1,IF(AG23&gt;=Parameters!$B$13,-1,-2))),0)</f>
        <v>2</v>
      </c>
      <c r="BI23" s="10" t="n">
        <f aca="false">IF(ISNUMBER(AF23),IF(AND(AF23&gt;=Parameters!$B$14,AF23&lt;=Parameters!$B$15),1,IF(OR(AF23&gt;Parameters!$B$16,AF23&lt;Parameters!$B$17),-1,0)),0)</f>
        <v>1</v>
      </c>
      <c r="BJ23" s="10" t="n">
        <f aca="false">IF(ISNUMBER(AE23),IF(AND(AE23&gt;=Parameters!$B$18,AE23&lt;=Parameters!$B$19),1,IF(OR(AE23&gt;Parameters!$B$20,AE23&lt;Parameters!$B$21),-1,0)),0)</f>
        <v>1</v>
      </c>
      <c r="BK23" s="10" t="n">
        <f aca="false">IF(ISNUMBER(E23),IF(E23&gt;Parameters!$B$22,1,IF(E23&lt;Parameters!$B$23,-1,0)),0)</f>
        <v>0</v>
      </c>
      <c r="BL23" s="10" t="n">
        <f aca="false">IF(ISNUMBER(C23),IF(C23&gt;=Parameters!$B$24,1,IF(C23&lt;=Parameters!$B$25,-1,0)),0)</f>
        <v>1</v>
      </c>
      <c r="BM23" s="10" t="n">
        <f aca="false">IF(ISNUMBER(AJ23),IF(AND(AJ23&gt;Parameters!$B$26,ISNUMBER(U23)),IF(U23&lt;0,-1,1),0),0)</f>
        <v>0</v>
      </c>
      <c r="BN23" s="10" t="n">
        <f aca="false">IF(ISNUMBER(AD23),IF(AD23&gt;Parameters!$B$27,1,IF(AD23&lt;Parameters!$B$28,-1,0)),0)</f>
        <v>0</v>
      </c>
      <c r="BO23" s="17" t="n">
        <f aca="false">BG23+BH23+BI23+BJ23+BK23+BL23+BM23+BN23</f>
        <v>7</v>
      </c>
      <c r="BP23" s="10" t="n">
        <f aca="false">IF(ISNUMBER(F23),IF(F23&gt;=Parameters!$B$30,2,IF(F23&gt;=Parameters!$B$31,1,IF(F23&lt;=Parameters!$B$32,-1,0))),0)</f>
        <v>1</v>
      </c>
      <c r="BQ23" s="10" t="n">
        <f aca="false">IF(ISNUMBER(AK23),IF(AK23&gt;Parameters!$B$33,1,IF(AK23&lt;0,-1,0)),0)</f>
        <v>1</v>
      </c>
      <c r="BR23" s="10" t="n">
        <f aca="false">IF(ISNUMBER(AL23),IF(AL23&gt;Parameters!$B$34,1,IF(AL23&lt;0,-1,0)),0)</f>
        <v>1</v>
      </c>
      <c r="BS23" s="10" t="n">
        <f aca="false">IF(ISNUMBER(AP23),IF(AND(AP23&gt;0,AP23&lt;=Parameters!$B$35),1,IF(AP23&gt;Parameters!$B$36,-1,0)),0)</f>
        <v>0</v>
      </c>
      <c r="BT23" s="10" t="n">
        <f aca="false">IF(ISNUMBER(AY23),IF(AY23&gt;Parameters!$B$37,1,IF(AY23&lt;0,-1,0)),0)</f>
        <v>1</v>
      </c>
      <c r="BU23" s="10" t="n">
        <f aca="false">IF(ISNUMBER(AZ23),IF(AZ23&gt;0,1,0),0)</f>
        <v>1</v>
      </c>
      <c r="BV23" s="10" t="n">
        <f aca="false">IF(ISNUMBER(AL23),IF(AL23&gt;Parameters!$B$39,2,IF(AL23&gt;Parameters!$B$40,1,IF(AL23&lt;0,-2,IF(AL23&lt;Parameters!$B$41,-1,0)))),0)</f>
        <v>2</v>
      </c>
      <c r="BW23" s="10" t="n">
        <f aca="false">IF(ISNUMBER(AV23),IF(AV23&gt;Parameters!$B$42,1,IF(AV23&lt;Parameters!$B$43,-1,0)),0)</f>
        <v>1</v>
      </c>
      <c r="BX23" s="10" t="n">
        <f aca="false">IF(AND(ISNUMBER(AX23),AX23&gt;0),1,IF(AND(ISNUMBER(AY23),AY23&lt;Parameters!$B$44),-1,0))</f>
        <v>1</v>
      </c>
      <c r="BY23" s="10" t="n">
        <f aca="false">IF(ISNUMBER(AW23),IF(AW23&gt;0,1,0),0)</f>
        <v>1</v>
      </c>
      <c r="BZ23" s="10" t="n">
        <f aca="false">IF(ISNUMBER(AQ23),IF(AQ23&gt;Parameters!$B$46,-2,IF(AQ23&gt;Parameters!$B$45,-1,0)),0)</f>
        <v>0</v>
      </c>
      <c r="CA23" s="10" t="n">
        <f aca="false">IF(ISNUMBER(F23),IF(F23&gt;=Parameters!$B$47,1,IF(F23&lt;=Parameters!$B$48,-1,0)),0)</f>
        <v>1</v>
      </c>
      <c r="CB23" s="17" t="n">
        <f aca="false">IF(BF23="Established",BP23+BQ23+BR23+BS23+BT23+BU23,IF(BF23="Early",BV23+BW23+BX23+BY23+BZ23+CA23,0))</f>
        <v>5</v>
      </c>
      <c r="CC23" s="18" t="n">
        <f aca="false">IF(BF23="Established",BO23+CB23,IF(BF23="Early",BO23+Parameters!$B$50*CB23,BO23))</f>
        <v>12</v>
      </c>
      <c r="CD23" s="17" t="n">
        <f aca="false">IF(BF23="Established",IF(CC23&gt;=Parameters!$B$51,6,IF(CC23&gt;=Parameters!$B$52,5,IF(CC23&gt;=Parameters!$B$53,4,IF(CC23&gt;=Parameters!$B$54,3,IF(CC23&gt;=Parameters!$B$55,2,1))))),IF(BF23="Early",IF(CC23&gt;=Parameters!$B$56,5,IF(CC23&gt;=Parameters!$B$57,4,IF(CC23&gt;=Parameters!$B$58,3,IF(CC23&gt;=Parameters!$B$59,2,1)))),IF(CC23&gt;=Parameters!$B$60,6,IF(CC23&gt;=Parameters!$B$61,5,IF(CC23&gt;=Parameters!$B$62,4,IF(CC23&gt;=Parameters!$B$63,3,IF(CC23&gt;=Parameters!$B$64,2,1)))))))</f>
        <v>5</v>
      </c>
      <c r="CE23" s="10" t="n">
        <f aca="false">IF(AND(ISNUMBER(AR23),AR23&lt;Parameters!$B$66),1,0)</f>
        <v>0</v>
      </c>
      <c r="CF23" s="10" t="n">
        <f aca="false">IF(AND(LEFT(AH23,5)="Death",ISNUMBER(AG23)),IF(BF23="Early",IF(AND(AG23&lt;Parameters!$B$70,ISNUMBER(U23),U23&lt;Parameters!$B$71),1,0),IF(AND(AG23&lt;Parameters!$B$67,OR(AND(ISNUMBER(U23),U23&lt;Parameters!$B$68),AND(ISNUMBER(V23),V23&lt;Parameters!$B$69))),1,0)),0)</f>
        <v>0</v>
      </c>
      <c r="CG23" s="10" t="n">
        <f aca="false">IF(AND(ISNUMBER(AG23),AG23&lt;0),1,0)</f>
        <v>0</v>
      </c>
      <c r="CH23" s="10" t="n">
        <f aca="false">IF(OR(AND(ISNUMBER(U23),U23&gt;Parameters!$B$74),AND(ISNUMBER(AF23),AF23&gt;Parameters!$B$75),AND(ISNUMBER(AE23),AE23&gt;Parameters!$B$76)),1,0)</f>
        <v>0</v>
      </c>
      <c r="CI23" s="10" t="n">
        <f aca="false">IF(AND(ISNUMBER(BC23),BC23&gt;=0,BC23&lt;=Parameters!$B$77),1,0)</f>
        <v>0</v>
      </c>
      <c r="CJ23" s="17" t="n">
        <f aca="false">IF(CF23=1,1,MIN(CD23,IF(CE23=1,3,6),IF(CG23=1,IF(BF23="Early",Parameters!$B$73,Parameters!$B$72),6),IF(CH23=1,3,6),IF(CI23=1,3,6)))</f>
        <v>5</v>
      </c>
      <c r="CK23" s="10" t="str">
        <f aca="false">INDEX(Parameters!$F$2:$F$7,CJ23)</f>
        <v>Buy</v>
      </c>
      <c r="CL23" s="10" t="str">
        <f aca="false">IF(CF23=1,"Hard sell: breakdown; ","")&amp;IF(CE23=1,"Insufficient history; ","")&amp;IF(AND(CF23=0,CG23=1),"Below 200D; ","")&amp;IF(CH23=1,"Extended - wait for pullback; ","")&amp;IF(CI23=1,"Earnings within "&amp;Parameters!$B$77&amp;"d; ","")</f>
        <v/>
      </c>
    </row>
    <row r="24" customFormat="false" ht="15" hidden="false" customHeight="false" outlineLevel="0" collapsed="false">
      <c r="A24" s="10" t="s">
        <v>358</v>
      </c>
      <c r="B24" s="10" t="n">
        <v>7</v>
      </c>
      <c r="C24" s="10" t="n">
        <v>6</v>
      </c>
      <c r="D24" s="10" t="n">
        <v>42.1</v>
      </c>
      <c r="E24" s="10" t="n">
        <v>9</v>
      </c>
      <c r="F24" s="10" t="n">
        <v>9</v>
      </c>
      <c r="G24" s="10" t="s">
        <v>359</v>
      </c>
      <c r="H24" s="10" t="s">
        <v>360</v>
      </c>
      <c r="I24" s="10" t="n">
        <v>923.22</v>
      </c>
      <c r="J24" s="10" t="s">
        <v>295</v>
      </c>
      <c r="K24" s="10" t="s">
        <v>360</v>
      </c>
      <c r="L24" s="15" t="n">
        <v>253293883014</v>
      </c>
      <c r="M24" s="16" t="n">
        <v>46225</v>
      </c>
      <c r="N24" s="10" t="n">
        <v>-22.33</v>
      </c>
      <c r="O24" s="16" t="n">
        <v>46316</v>
      </c>
      <c r="P24" s="10" t="s">
        <v>297</v>
      </c>
      <c r="Q24" s="10" t="n">
        <v>-2.93</v>
      </c>
      <c r="R24" s="10" t="n">
        <v>-2.09</v>
      </c>
      <c r="S24" s="10" t="n">
        <v>0.14</v>
      </c>
      <c r="T24" s="10" t="n">
        <v>-3.13</v>
      </c>
      <c r="U24" s="10" t="n">
        <v>-8.76</v>
      </c>
      <c r="V24" s="10" t="n">
        <v>6.47</v>
      </c>
      <c r="W24" s="10" t="n">
        <v>8.92</v>
      </c>
      <c r="X24" s="10" t="n">
        <v>52.42</v>
      </c>
      <c r="Y24" s="10"/>
      <c r="Z24" s="10"/>
      <c r="AA24" s="10"/>
      <c r="AB24" s="10"/>
      <c r="AC24" s="10" t="n">
        <v>1.83</v>
      </c>
      <c r="AD24" s="10" t="n">
        <v>-22.8</v>
      </c>
      <c r="AE24" s="10" t="n">
        <v>42.28</v>
      </c>
      <c r="AF24" s="10" t="n">
        <v>-8.22</v>
      </c>
      <c r="AG24" s="10" t="n">
        <v>3.52</v>
      </c>
      <c r="AH24" s="10" t="s">
        <v>301</v>
      </c>
      <c r="AI24" s="10" t="n">
        <v>1.98</v>
      </c>
      <c r="AJ24" s="10" t="n">
        <v>-36.16</v>
      </c>
      <c r="AK24" s="10" t="n">
        <v>30</v>
      </c>
      <c r="AL24" s="10" t="n">
        <v>21.9</v>
      </c>
      <c r="AM24" s="10" t="n">
        <v>23.04</v>
      </c>
      <c r="AN24" s="10" t="n">
        <v>82.58</v>
      </c>
      <c r="AO24" s="10" t="n">
        <v>37.27</v>
      </c>
      <c r="AP24" s="10" t="n">
        <v>0.85</v>
      </c>
      <c r="AQ24" s="10" t="n">
        <v>2.99</v>
      </c>
      <c r="AR24" s="10" t="n">
        <v>300</v>
      </c>
      <c r="AS24" s="16" t="n">
        <v>46275</v>
      </c>
      <c r="AT24" s="15" t="n">
        <v>41366999040</v>
      </c>
      <c r="AU24" s="15" t="n">
        <v>8509000192</v>
      </c>
      <c r="AV24" s="10" t="n">
        <v>20.57</v>
      </c>
      <c r="AW24" s="15" t="n">
        <v>9528999936</v>
      </c>
      <c r="AX24" s="15" t="n">
        <v>15722125312</v>
      </c>
      <c r="AY24" s="10" t="n">
        <v>38.01</v>
      </c>
      <c r="AZ24" s="15" t="n">
        <v>9000000000</v>
      </c>
      <c r="BA24" s="10" t="n">
        <v>74.14</v>
      </c>
      <c r="BB24" s="10" t="n">
        <v>59.04</v>
      </c>
      <c r="BC24" s="17" t="n">
        <f aca="false">IF(AND(ISNUMBER(O24),ISNUMBER(AS24)),O24-AS24,"")</f>
        <v>41</v>
      </c>
      <c r="BD24" s="10" t="n">
        <f aca="false">IF(OR(ISNUMBER(SEARCH("ETF",H24)),AND(F24="",AO24="")),1,0)</f>
        <v>0</v>
      </c>
      <c r="BE24" s="17" t="n">
        <f aca="false">IF(ISNUMBER(L24),IF(L24&gt;=Parameters!$B$3,2,IF(L24&gt;=Parameters!$B$4,1,0)),0)+IF(ISNUMBER(AW24),IF(AW24&gt;0,IF(AND(ISNUMBER(AM24),AM24&gt;=Parameters!$B$5),2,1),0),0)+IF(ISNUMBER(AX24),IF(AND(AX24&gt;0,ISNUMBER(AY24),AY24&gt;=Parameters!$B$6),1,0),0)+IF(ISNUMBER(AO24),IF(AND(AO24&gt;0,AO24&lt;=Parameters!$B$7),1,0),0)+IF(ISNUMBER(F24),IF(F24&gt;=Parameters!$B$8,1,0),0)</f>
        <v>7</v>
      </c>
      <c r="BF24" s="10" t="str">
        <f aca="false">IF(BD24=1,"ETF",IF(OR(AND(ISNUMBER(L24),L24&gt;=Parameters!$B$10),BE24&gt;=Parameters!$B$9),"Established","Early"))</f>
        <v>Established</v>
      </c>
      <c r="BG24" s="10" t="n">
        <f aca="false">IF(LEFT(AH24,6)="Golden",2,IF(LEFT(AH24,5)="Death",-2,0))</f>
        <v>2</v>
      </c>
      <c r="BH24" s="10" t="n">
        <f aca="false">IF(ISNUMBER(AG24),IF(AG24&gt;Parameters!$B$12,2,IF(AG24&gt;0,1,IF(AG24&gt;=Parameters!$B$13,-1,-2))),0)</f>
        <v>1</v>
      </c>
      <c r="BI24" s="10" t="n">
        <f aca="false">IF(ISNUMBER(AF24),IF(AND(AF24&gt;=Parameters!$B$14,AF24&lt;=Parameters!$B$15),1,IF(OR(AF24&gt;Parameters!$B$16,AF24&lt;Parameters!$B$17),-1,0)),0)</f>
        <v>-1</v>
      </c>
      <c r="BJ24" s="10" t="n">
        <f aca="false">IF(ISNUMBER(AE24),IF(AND(AE24&gt;=Parameters!$B$18,AE24&lt;=Parameters!$B$19),1,IF(OR(AE24&gt;Parameters!$B$20,AE24&lt;Parameters!$B$21),-1,0)),0)</f>
        <v>0</v>
      </c>
      <c r="BK24" s="10" t="n">
        <f aca="false">IF(ISNUMBER(E24),IF(E24&gt;Parameters!$B$22,1,IF(E24&lt;Parameters!$B$23,-1,0)),0)</f>
        <v>1</v>
      </c>
      <c r="BL24" s="10" t="n">
        <f aca="false">IF(ISNUMBER(C24),IF(C24&gt;=Parameters!$B$24,1,IF(C24&lt;=Parameters!$B$25,-1,0)),0)</f>
        <v>0</v>
      </c>
      <c r="BM24" s="10" t="n">
        <f aca="false">IF(ISNUMBER(AJ24),IF(AND(AJ24&gt;Parameters!$B$26,ISNUMBER(U24)),IF(U24&lt;0,-1,1),0),0)</f>
        <v>0</v>
      </c>
      <c r="BN24" s="10" t="n">
        <f aca="false">IF(ISNUMBER(AD24),IF(AD24&gt;Parameters!$B$27,1,IF(AD24&lt;Parameters!$B$28,-1,0)),0)</f>
        <v>0</v>
      </c>
      <c r="BO24" s="17" t="n">
        <f aca="false">BG24+BH24+BI24+BJ24+BK24+BL24+BM24+BN24</f>
        <v>3</v>
      </c>
      <c r="BP24" s="10" t="n">
        <f aca="false">IF(ISNUMBER(F24),IF(F24&gt;=Parameters!$B$30,2,IF(F24&gt;=Parameters!$B$31,1,IF(F24&lt;=Parameters!$B$32,-1,0))),0)</f>
        <v>2</v>
      </c>
      <c r="BQ24" s="10" t="n">
        <f aca="false">IF(ISNUMBER(AK24),IF(AK24&gt;Parameters!$B$33,1,IF(AK24&lt;0,-1,0)),0)</f>
        <v>1</v>
      </c>
      <c r="BR24" s="10" t="n">
        <f aca="false">IF(ISNUMBER(AL24),IF(AL24&gt;Parameters!$B$34,1,IF(AL24&lt;0,-1,0)),0)</f>
        <v>1</v>
      </c>
      <c r="BS24" s="10" t="n">
        <f aca="false">IF(ISNUMBER(AP24),IF(AND(AP24&gt;0,AP24&lt;=Parameters!$B$35),1,IF(AP24&gt;Parameters!$B$36,-1,0)),0)</f>
        <v>1</v>
      </c>
      <c r="BT24" s="10" t="n">
        <f aca="false">IF(ISNUMBER(AY24),IF(AY24&gt;Parameters!$B$37,1,IF(AY24&lt;0,-1,0)),0)</f>
        <v>1</v>
      </c>
      <c r="BU24" s="10" t="n">
        <f aca="false">IF(ISNUMBER(AZ24),IF(AZ24&gt;0,1,0),0)</f>
        <v>1</v>
      </c>
      <c r="BV24" s="10" t="n">
        <f aca="false">IF(ISNUMBER(AL24),IF(AL24&gt;Parameters!$B$39,2,IF(AL24&gt;Parameters!$B$40,1,IF(AL24&lt;0,-2,IF(AL24&lt;Parameters!$B$41,-1,0)))),0)</f>
        <v>1</v>
      </c>
      <c r="BW24" s="10" t="n">
        <f aca="false">IF(ISNUMBER(AV24),IF(AV24&gt;Parameters!$B$42,1,IF(AV24&lt;Parameters!$B$43,-1,0)),0)</f>
        <v>-1</v>
      </c>
      <c r="BX24" s="10" t="n">
        <f aca="false">IF(AND(ISNUMBER(AX24),AX24&gt;0),1,IF(AND(ISNUMBER(AY24),AY24&lt;Parameters!$B$44),-1,0))</f>
        <v>1</v>
      </c>
      <c r="BY24" s="10" t="n">
        <f aca="false">IF(ISNUMBER(AW24),IF(AW24&gt;0,1,0),0)</f>
        <v>1</v>
      </c>
      <c r="BZ24" s="10" t="n">
        <f aca="false">IF(ISNUMBER(AQ24),IF(AQ24&gt;Parameters!$B$46,-2,IF(AQ24&gt;Parameters!$B$45,-1,0)),0)</f>
        <v>0</v>
      </c>
      <c r="CA24" s="10" t="n">
        <f aca="false">IF(ISNUMBER(F24),IF(F24&gt;=Parameters!$B$47,1,IF(F24&lt;=Parameters!$B$48,-1,0)),0)</f>
        <v>1</v>
      </c>
      <c r="CB24" s="17" t="n">
        <f aca="false">IF(BF24="Established",BP24+BQ24+BR24+BS24+BT24+BU24,IF(BF24="Early",BV24+BW24+BX24+BY24+BZ24+CA24,0))</f>
        <v>7</v>
      </c>
      <c r="CC24" s="18" t="n">
        <f aca="false">IF(BF24="Established",BO24+CB24,IF(BF24="Early",BO24+Parameters!$B$50*CB24,BO24))</f>
        <v>10</v>
      </c>
      <c r="CD24" s="17" t="n">
        <f aca="false">IF(BF24="Established",IF(CC24&gt;=Parameters!$B$51,6,IF(CC24&gt;=Parameters!$B$52,5,IF(CC24&gt;=Parameters!$B$53,4,IF(CC24&gt;=Parameters!$B$54,3,IF(CC24&gt;=Parameters!$B$55,2,1))))),IF(BF24="Early",IF(CC24&gt;=Parameters!$B$56,5,IF(CC24&gt;=Parameters!$B$57,4,IF(CC24&gt;=Parameters!$B$58,3,IF(CC24&gt;=Parameters!$B$59,2,1)))),IF(CC24&gt;=Parameters!$B$60,6,IF(CC24&gt;=Parameters!$B$61,5,IF(CC24&gt;=Parameters!$B$62,4,IF(CC24&gt;=Parameters!$B$63,3,IF(CC24&gt;=Parameters!$B$64,2,1)))))))</f>
        <v>5</v>
      </c>
      <c r="CE24" s="10" t="n">
        <f aca="false">IF(AND(ISNUMBER(AR24),AR24&lt;Parameters!$B$66),1,0)</f>
        <v>0</v>
      </c>
      <c r="CF24" s="10" t="n">
        <f aca="false">IF(AND(LEFT(AH24,5)="Death",ISNUMBER(AG24)),IF(BF24="Early",IF(AND(AG24&lt;Parameters!$B$70,ISNUMBER(U24),U24&lt;Parameters!$B$71),1,0),IF(AND(AG24&lt;Parameters!$B$67,OR(AND(ISNUMBER(U24),U24&lt;Parameters!$B$68),AND(ISNUMBER(V24),V24&lt;Parameters!$B$69))),1,0)),0)</f>
        <v>0</v>
      </c>
      <c r="CG24" s="10" t="n">
        <f aca="false">IF(AND(ISNUMBER(AG24),AG24&lt;0),1,0)</f>
        <v>0</v>
      </c>
      <c r="CH24" s="10" t="n">
        <f aca="false">IF(OR(AND(ISNUMBER(U24),U24&gt;Parameters!$B$74),AND(ISNUMBER(AF24),AF24&gt;Parameters!$B$75),AND(ISNUMBER(AE24),AE24&gt;Parameters!$B$76)),1,0)</f>
        <v>0</v>
      </c>
      <c r="CI24" s="10" t="n">
        <f aca="false">IF(AND(ISNUMBER(BC24),BC24&gt;=0,BC24&lt;=Parameters!$B$77),1,0)</f>
        <v>0</v>
      </c>
      <c r="CJ24" s="17" t="n">
        <f aca="false">IF(CF24=1,1,MIN(CD24,IF(CE24=1,3,6),IF(CG24=1,IF(BF24="Early",Parameters!$B$73,Parameters!$B$72),6),IF(CH24=1,3,6),IF(CI24=1,3,6)))</f>
        <v>5</v>
      </c>
      <c r="CK24" s="10" t="str">
        <f aca="false">INDEX(Parameters!$F$2:$F$7,CJ24)</f>
        <v>Buy</v>
      </c>
      <c r="CL24" s="10" t="str">
        <f aca="false">IF(CF24=1,"Hard sell: breakdown; ","")&amp;IF(CE24=1,"Insufficient history; ","")&amp;IF(AND(CF24=0,CG24=1),"Below 200D; ","")&amp;IF(CH24=1,"Extended - wait for pullback; ","")&amp;IF(CI24=1,"Earnings within "&amp;Parameters!$B$77&amp;"d; ","")</f>
        <v/>
      </c>
    </row>
    <row r="25" customFormat="false" ht="15" hidden="false" customHeight="false" outlineLevel="0" collapsed="false">
      <c r="A25" s="10" t="s">
        <v>361</v>
      </c>
      <c r="B25" s="10" t="n">
        <v>7</v>
      </c>
      <c r="C25" s="10" t="n">
        <v>7</v>
      </c>
      <c r="D25" s="10" t="n">
        <v>56.8</v>
      </c>
      <c r="E25" s="10" t="n">
        <v>8.1</v>
      </c>
      <c r="F25" s="10"/>
      <c r="G25" s="10" t="s">
        <v>362</v>
      </c>
      <c r="H25" s="10" t="s">
        <v>363</v>
      </c>
      <c r="I25" s="10" t="n">
        <v>520.63</v>
      </c>
      <c r="J25" s="10" t="s">
        <v>295</v>
      </c>
      <c r="K25" s="10"/>
      <c r="L25" s="15" t="n">
        <v>3483886592</v>
      </c>
      <c r="M25" s="16" t="n">
        <v>46000</v>
      </c>
      <c r="N25" s="10" t="n">
        <v>111.11</v>
      </c>
      <c r="O25" s="16" t="n">
        <v>46091</v>
      </c>
      <c r="P25" s="10" t="s">
        <v>297</v>
      </c>
      <c r="Q25" s="10" t="n">
        <v>-2.14</v>
      </c>
      <c r="R25" s="10" t="n">
        <v>0.68</v>
      </c>
      <c r="S25" s="10" t="n">
        <v>3.83</v>
      </c>
      <c r="T25" s="10" t="n">
        <v>1.01</v>
      </c>
      <c r="U25" s="10" t="n">
        <v>-2.54</v>
      </c>
      <c r="V25" s="10" t="n">
        <v>-3.86</v>
      </c>
      <c r="W25" s="10" t="n">
        <v>52.19</v>
      </c>
      <c r="X25" s="10" t="n">
        <v>109.04</v>
      </c>
      <c r="Y25" s="10"/>
      <c r="Z25" s="10"/>
      <c r="AA25" s="10"/>
      <c r="AB25" s="10"/>
      <c r="AC25" s="10" t="n">
        <v>-8.5</v>
      </c>
      <c r="AD25" s="10" t="n">
        <v>-20.63</v>
      </c>
      <c r="AE25" s="10" t="n">
        <v>48.88</v>
      </c>
      <c r="AF25" s="10" t="n">
        <v>-2.33</v>
      </c>
      <c r="AG25" s="10" t="n">
        <v>19.6</v>
      </c>
      <c r="AH25" s="10" t="s">
        <v>301</v>
      </c>
      <c r="AI25" s="10" t="n">
        <v>2.22</v>
      </c>
      <c r="AJ25" s="10" t="n">
        <v>-7.46</v>
      </c>
      <c r="AK25" s="10"/>
      <c r="AL25" s="10"/>
      <c r="AM25" s="10"/>
      <c r="AN25" s="10"/>
      <c r="AO25" s="10"/>
      <c r="AP25" s="10"/>
      <c r="AQ25" s="10"/>
      <c r="AR25" s="10" t="n">
        <v>300</v>
      </c>
      <c r="AS25" s="16" t="n">
        <v>46275</v>
      </c>
      <c r="AT25" s="15" t="n">
        <v>0</v>
      </c>
      <c r="AU25" s="15" t="n">
        <v>0</v>
      </c>
      <c r="AV25" s="10"/>
      <c r="AW25" s="15" t="n">
        <v>0</v>
      </c>
      <c r="AX25" s="15" t="n">
        <v>0</v>
      </c>
      <c r="AY25" s="10"/>
      <c r="AZ25" s="15" t="n">
        <v>0</v>
      </c>
      <c r="BA25" s="10" t="n">
        <v>106.71</v>
      </c>
      <c r="BB25" s="10" t="n">
        <v>66.51</v>
      </c>
      <c r="BC25" s="17" t="n">
        <f aca="false">IF(AND(ISNUMBER(O25),ISNUMBER(AS25)),O25-AS25,"")</f>
        <v>-184</v>
      </c>
      <c r="BD25" s="10" t="n">
        <f aca="false">IF(OR(ISNUMBER(SEARCH("ETF",H25)),AND(F25="",AO25="")),1,0)</f>
        <v>1</v>
      </c>
      <c r="BE25" s="17" t="n">
        <f aca="false">IF(ISNUMBER(L25),IF(L25&gt;=Parameters!$B$3,2,IF(L25&gt;=Parameters!$B$4,1,0)),0)+IF(ISNUMBER(AW25),IF(AW25&gt;0,IF(AND(ISNUMBER(AM25),AM25&gt;=Parameters!$B$5),2,1),0),0)+IF(ISNUMBER(AX25),IF(AND(AX25&gt;0,ISNUMBER(AY25),AY25&gt;=Parameters!$B$6),1,0),0)+IF(ISNUMBER(AO25),IF(AND(AO25&gt;0,AO25&lt;=Parameters!$B$7),1,0),0)+IF(ISNUMBER(F25),IF(F25&gt;=Parameters!$B$8,1,0),0)</f>
        <v>0</v>
      </c>
      <c r="BF25" s="10" t="str">
        <f aca="false">IF(BD25=1,"ETF",IF(OR(AND(ISNUMBER(L25),L25&gt;=Parameters!$B$10),BE25&gt;=Parameters!$B$9),"Established","Early"))</f>
        <v>ETF</v>
      </c>
      <c r="BG25" s="10" t="n">
        <f aca="false">IF(LEFT(AH25,6)="Golden",2,IF(LEFT(AH25,5)="Death",-2,0))</f>
        <v>2</v>
      </c>
      <c r="BH25" s="10" t="n">
        <f aca="false">IF(ISNUMBER(AG25),IF(AG25&gt;Parameters!$B$12,2,IF(AG25&gt;0,1,IF(AG25&gt;=Parameters!$B$13,-1,-2))),0)</f>
        <v>2</v>
      </c>
      <c r="BI25" s="10" t="n">
        <f aca="false">IF(ISNUMBER(AF25),IF(AND(AF25&gt;=Parameters!$B$14,AF25&lt;=Parameters!$B$15),1,IF(OR(AF25&gt;Parameters!$B$16,AF25&lt;Parameters!$B$17),-1,0)),0)</f>
        <v>1</v>
      </c>
      <c r="BJ25" s="10" t="n">
        <f aca="false">IF(ISNUMBER(AE25),IF(AND(AE25&gt;=Parameters!$B$18,AE25&lt;=Parameters!$B$19),1,IF(OR(AE25&gt;Parameters!$B$20,AE25&lt;Parameters!$B$21),-1,0)),0)</f>
        <v>1</v>
      </c>
      <c r="BK25" s="10" t="n">
        <f aca="false">IF(ISNUMBER(E25),IF(E25&gt;Parameters!$B$22,1,IF(E25&lt;Parameters!$B$23,-1,0)),0)</f>
        <v>1</v>
      </c>
      <c r="BL25" s="10" t="n">
        <f aca="false">IF(ISNUMBER(C25),IF(C25&gt;=Parameters!$B$24,1,IF(C25&lt;=Parameters!$B$25,-1,0)),0)</f>
        <v>1</v>
      </c>
      <c r="BM25" s="10" t="n">
        <f aca="false">IF(ISNUMBER(AJ25),IF(AND(AJ25&gt;Parameters!$B$26,ISNUMBER(U25)),IF(U25&lt;0,-1,1),0),0)</f>
        <v>0</v>
      </c>
      <c r="BN25" s="10" t="n">
        <f aca="false">IF(ISNUMBER(AD25),IF(AD25&gt;Parameters!$B$27,1,IF(AD25&lt;Parameters!$B$28,-1,0)),0)</f>
        <v>0</v>
      </c>
      <c r="BO25" s="17" t="n">
        <f aca="false">BG25+BH25+BI25+BJ25+BK25+BL25+BM25+BN25</f>
        <v>8</v>
      </c>
      <c r="BP25" s="10" t="n">
        <f aca="false">IF(ISNUMBER(F25),IF(F25&gt;=Parameters!$B$30,2,IF(F25&gt;=Parameters!$B$31,1,IF(F25&lt;=Parameters!$B$32,-1,0))),0)</f>
        <v>0</v>
      </c>
      <c r="BQ25" s="10" t="n">
        <f aca="false">IF(ISNUMBER(AK25),IF(AK25&gt;Parameters!$B$33,1,IF(AK25&lt;0,-1,0)),0)</f>
        <v>0</v>
      </c>
      <c r="BR25" s="10" t="n">
        <f aca="false">IF(ISNUMBER(AL25),IF(AL25&gt;Parameters!$B$34,1,IF(AL25&lt;0,-1,0)),0)</f>
        <v>0</v>
      </c>
      <c r="BS25" s="10" t="n">
        <f aca="false">IF(ISNUMBER(AP25),IF(AND(AP25&gt;0,AP25&lt;=Parameters!$B$35),1,IF(AP25&gt;Parameters!$B$36,-1,0)),0)</f>
        <v>0</v>
      </c>
      <c r="BT25" s="10" t="n">
        <f aca="false">IF(ISNUMBER(AY25),IF(AY25&gt;Parameters!$B$37,1,IF(AY25&lt;0,-1,0)),0)</f>
        <v>0</v>
      </c>
      <c r="BU25" s="10" t="n">
        <f aca="false">IF(ISNUMBER(AZ25),IF(AZ25&gt;0,1,0),0)</f>
        <v>0</v>
      </c>
      <c r="BV25" s="10" t="n">
        <f aca="false">IF(ISNUMBER(AL25),IF(AL25&gt;Parameters!$B$39,2,IF(AL25&gt;Parameters!$B$40,1,IF(AL25&lt;0,-2,IF(AL25&lt;Parameters!$B$41,-1,0)))),0)</f>
        <v>0</v>
      </c>
      <c r="BW25" s="10" t="n">
        <f aca="false">IF(ISNUMBER(AV25),IF(AV25&gt;Parameters!$B$42,1,IF(AV25&lt;Parameters!$B$43,-1,0)),0)</f>
        <v>0</v>
      </c>
      <c r="BX25" s="10" t="n">
        <f aca="false">IF(AND(ISNUMBER(AX25),AX25&gt;0),1,IF(AND(ISNUMBER(AY25),AY25&lt;Parameters!$B$44),-1,0))</f>
        <v>0</v>
      </c>
      <c r="BY25" s="10" t="n">
        <f aca="false">IF(ISNUMBER(AW25),IF(AW25&gt;0,1,0),0)</f>
        <v>0</v>
      </c>
      <c r="BZ25" s="10" t="n">
        <f aca="false">IF(ISNUMBER(AQ25),IF(AQ25&gt;Parameters!$B$46,-2,IF(AQ25&gt;Parameters!$B$45,-1,0)),0)</f>
        <v>0</v>
      </c>
      <c r="CA25" s="10" t="n">
        <f aca="false">IF(ISNUMBER(F25),IF(F25&gt;=Parameters!$B$47,1,IF(F25&lt;=Parameters!$B$48,-1,0)),0)</f>
        <v>0</v>
      </c>
      <c r="CB25" s="17" t="n">
        <f aca="false">IF(BF25="Established",BP25+BQ25+BR25+BS25+BT25+BU25,IF(BF25="Early",BV25+BW25+BX25+BY25+BZ25+CA25,0))</f>
        <v>0</v>
      </c>
      <c r="CC25" s="18" t="n">
        <f aca="false">IF(BF25="Established",BO25+CB25,IF(BF25="Early",BO25+Parameters!$B$50*CB25,BO25))</f>
        <v>8</v>
      </c>
      <c r="CD25" s="17" t="n">
        <f aca="false">IF(BF25="Established",IF(CC25&gt;=Parameters!$B$51,6,IF(CC25&gt;=Parameters!$B$52,5,IF(CC25&gt;=Parameters!$B$53,4,IF(CC25&gt;=Parameters!$B$54,3,IF(CC25&gt;=Parameters!$B$55,2,1))))),IF(BF25="Early",IF(CC25&gt;=Parameters!$B$56,5,IF(CC25&gt;=Parameters!$B$57,4,IF(CC25&gt;=Parameters!$B$58,3,IF(CC25&gt;=Parameters!$B$59,2,1)))),IF(CC25&gt;=Parameters!$B$60,6,IF(CC25&gt;=Parameters!$B$61,5,IF(CC25&gt;=Parameters!$B$62,4,IF(CC25&gt;=Parameters!$B$63,3,IF(CC25&gt;=Parameters!$B$64,2,1)))))))</f>
        <v>6</v>
      </c>
      <c r="CE25" s="10" t="n">
        <f aca="false">IF(AND(ISNUMBER(AR25),AR25&lt;Parameters!$B$66),1,0)</f>
        <v>0</v>
      </c>
      <c r="CF25" s="10" t="n">
        <f aca="false">IF(AND(LEFT(AH25,5)="Death",ISNUMBER(AG25)),IF(BF25="Early",IF(AND(AG25&lt;Parameters!$B$70,ISNUMBER(U25),U25&lt;Parameters!$B$71),1,0),IF(AND(AG25&lt;Parameters!$B$67,OR(AND(ISNUMBER(U25),U25&lt;Parameters!$B$68),AND(ISNUMBER(V25),V25&lt;Parameters!$B$69))),1,0)),0)</f>
        <v>0</v>
      </c>
      <c r="CG25" s="10" t="n">
        <f aca="false">IF(AND(ISNUMBER(AG25),AG25&lt;0),1,0)</f>
        <v>0</v>
      </c>
      <c r="CH25" s="10" t="n">
        <f aca="false">IF(OR(AND(ISNUMBER(U25),U25&gt;Parameters!$B$74),AND(ISNUMBER(AF25),AF25&gt;Parameters!$B$75),AND(ISNUMBER(AE25),AE25&gt;Parameters!$B$76)),1,0)</f>
        <v>0</v>
      </c>
      <c r="CI25" s="10" t="n">
        <f aca="false">IF(AND(ISNUMBER(BC25),BC25&gt;=0,BC25&lt;=Parameters!$B$77),1,0)</f>
        <v>0</v>
      </c>
      <c r="CJ25" s="17" t="n">
        <f aca="false">IF(CF25=1,1,MIN(CD25,IF(CE25=1,3,6),IF(CG25=1,IF(BF25="Early",Parameters!$B$73,Parameters!$B$72),6),IF(CH25=1,3,6),IF(CI25=1,3,6)))</f>
        <v>6</v>
      </c>
      <c r="CK25" s="10" t="str">
        <f aca="false">INDEX(Parameters!$F$2:$F$7,CJ25)</f>
        <v>Strong Buy</v>
      </c>
      <c r="CL25" s="10" t="str">
        <f aca="false">IF(CF25=1,"Hard sell: breakdown; ","")&amp;IF(CE25=1,"Insufficient history; ","")&amp;IF(AND(CF25=0,CG25=1),"Below 200D; ","")&amp;IF(CH25=1,"Extended - wait for pullback; ","")&amp;IF(CI25=1,"Earnings within "&amp;Parameters!$B$77&amp;"d; ","")</f>
        <v/>
      </c>
    </row>
    <row r="26" customFormat="false" ht="15" hidden="false" customHeight="false" outlineLevel="0" collapsed="false">
      <c r="A26" s="10" t="s">
        <v>364</v>
      </c>
      <c r="B26" s="10" t="n">
        <v>7</v>
      </c>
      <c r="C26" s="10" t="n">
        <v>5</v>
      </c>
      <c r="D26" s="10" t="n">
        <v>39.5</v>
      </c>
      <c r="E26" s="10" t="n">
        <v>10.3</v>
      </c>
      <c r="F26" s="10" t="n">
        <v>9</v>
      </c>
      <c r="G26" s="10" t="s">
        <v>365</v>
      </c>
      <c r="H26" s="10" t="s">
        <v>328</v>
      </c>
      <c r="I26" s="10" t="n">
        <v>252.88</v>
      </c>
      <c r="J26" s="10" t="s">
        <v>295</v>
      </c>
      <c r="K26" s="10" t="s">
        <v>366</v>
      </c>
      <c r="L26" s="15" t="n">
        <v>2722465437709</v>
      </c>
      <c r="M26" s="16" t="n">
        <v>46233</v>
      </c>
      <c r="N26" s="10" t="n">
        <v>214.21</v>
      </c>
      <c r="O26" s="16" t="n">
        <v>46324</v>
      </c>
      <c r="P26" s="10" t="s">
        <v>297</v>
      </c>
      <c r="Q26" s="10" t="n">
        <v>0.19</v>
      </c>
      <c r="R26" s="10" t="n">
        <v>-1.78</v>
      </c>
      <c r="S26" s="10" t="n">
        <v>-0.83</v>
      </c>
      <c r="T26" s="10" t="n">
        <v>-2.85</v>
      </c>
      <c r="U26" s="10" t="n">
        <v>-7.12</v>
      </c>
      <c r="V26" s="10" t="n">
        <v>6.25</v>
      </c>
      <c r="W26" s="10" t="n">
        <v>18.92</v>
      </c>
      <c r="X26" s="10" t="n">
        <v>6.14</v>
      </c>
      <c r="Y26" s="10"/>
      <c r="Z26" s="10"/>
      <c r="AA26" s="10"/>
      <c r="AB26" s="10"/>
      <c r="AC26" s="10" t="n">
        <v>1.61</v>
      </c>
      <c r="AD26" s="10" t="n">
        <v>-11.95</v>
      </c>
      <c r="AE26" s="10" t="n">
        <v>44.59</v>
      </c>
      <c r="AF26" s="10" t="n">
        <v>-0.82</v>
      </c>
      <c r="AG26" s="10" t="n">
        <v>5.53</v>
      </c>
      <c r="AH26" s="10" t="s">
        <v>367</v>
      </c>
      <c r="AI26" s="10" t="n">
        <v>-1.37</v>
      </c>
      <c r="AJ26" s="10" t="n">
        <v>-22.11</v>
      </c>
      <c r="AK26" s="10" t="n">
        <v>244.9</v>
      </c>
      <c r="AL26" s="10" t="n">
        <v>19.6</v>
      </c>
      <c r="AM26" s="10" t="n">
        <v>17.44</v>
      </c>
      <c r="AN26" s="10" t="n">
        <v>30.56</v>
      </c>
      <c r="AO26" s="10" t="n">
        <v>24.72</v>
      </c>
      <c r="AP26" s="10" t="n">
        <v>0.09</v>
      </c>
      <c r="AQ26" s="10" t="n">
        <v>0.97</v>
      </c>
      <c r="AR26" s="10" t="n">
        <v>300</v>
      </c>
      <c r="AS26" s="16" t="n">
        <v>46275</v>
      </c>
      <c r="AT26" s="15" t="n">
        <v>775680032768</v>
      </c>
      <c r="AU26" s="15" t="n">
        <v>393809985536</v>
      </c>
      <c r="AV26" s="10" t="n">
        <v>50.77</v>
      </c>
      <c r="AW26" s="15" t="n">
        <v>135281000448</v>
      </c>
      <c r="AX26" s="15" t="n">
        <v>3219124992</v>
      </c>
      <c r="AY26" s="10" t="n">
        <v>0.42</v>
      </c>
      <c r="AZ26" s="15" t="n">
        <v>-128647004160</v>
      </c>
      <c r="BA26" s="10" t="n">
        <v>29.02</v>
      </c>
      <c r="BB26" s="10" t="n">
        <v>62.36</v>
      </c>
      <c r="BC26" s="17" t="n">
        <f aca="false">IF(AND(ISNUMBER(O26),ISNUMBER(AS26)),O26-AS26,"")</f>
        <v>49</v>
      </c>
      <c r="BD26" s="10" t="n">
        <f aca="false">IF(OR(ISNUMBER(SEARCH("ETF",H26)),AND(F26="",AO26="")),1,0)</f>
        <v>0</v>
      </c>
      <c r="BE26" s="17" t="n">
        <f aca="false">IF(ISNUMBER(L26),IF(L26&gt;=Parameters!$B$3,2,IF(L26&gt;=Parameters!$B$4,1,0)),0)+IF(ISNUMBER(AW26),IF(AW26&gt;0,IF(AND(ISNUMBER(AM26),AM26&gt;=Parameters!$B$5),2,1),0),0)+IF(ISNUMBER(AX26),IF(AND(AX26&gt;0,ISNUMBER(AY26),AY26&gt;=Parameters!$B$6),1,0),0)+IF(ISNUMBER(AO26),IF(AND(AO26&gt;0,AO26&lt;=Parameters!$B$7),1,0),0)+IF(ISNUMBER(F26),IF(F26&gt;=Parameters!$B$8,1,0),0)</f>
        <v>6</v>
      </c>
      <c r="BF26" s="10" t="str">
        <f aca="false">IF(BD26=1,"ETF",IF(OR(AND(ISNUMBER(L26),L26&gt;=Parameters!$B$10),BE26&gt;=Parameters!$B$9),"Established","Early"))</f>
        <v>Established</v>
      </c>
      <c r="BG26" s="10" t="n">
        <f aca="false">IF(LEFT(AH26,6)="Golden",2,IF(LEFT(AH26,5)="Death",-2,0))</f>
        <v>2</v>
      </c>
      <c r="BH26" s="10" t="n">
        <f aca="false">IF(ISNUMBER(AG26),IF(AG26&gt;Parameters!$B$12,2,IF(AG26&gt;0,1,IF(AG26&gt;=Parameters!$B$13,-1,-2))),0)</f>
        <v>1</v>
      </c>
      <c r="BI26" s="10" t="n">
        <f aca="false">IF(ISNUMBER(AF26),IF(AND(AF26&gt;=Parameters!$B$14,AF26&lt;=Parameters!$B$15),1,IF(OR(AF26&gt;Parameters!$B$16,AF26&lt;Parameters!$B$17),-1,0)),0)</f>
        <v>1</v>
      </c>
      <c r="BJ26" s="10" t="n">
        <f aca="false">IF(ISNUMBER(AE26),IF(AND(AE26&gt;=Parameters!$B$18,AE26&lt;=Parameters!$B$19),1,IF(OR(AE26&gt;Parameters!$B$20,AE26&lt;Parameters!$B$21),-1,0)),0)</f>
        <v>0</v>
      </c>
      <c r="BK26" s="10" t="n">
        <f aca="false">IF(ISNUMBER(E26),IF(E26&gt;Parameters!$B$22,1,IF(E26&lt;Parameters!$B$23,-1,0)),0)</f>
        <v>1</v>
      </c>
      <c r="BL26" s="10" t="n">
        <f aca="false">IF(ISNUMBER(C26),IF(C26&gt;=Parameters!$B$24,1,IF(C26&lt;=Parameters!$B$25,-1,0)),0)</f>
        <v>0</v>
      </c>
      <c r="BM26" s="10" t="n">
        <f aca="false">IF(ISNUMBER(AJ26),IF(AND(AJ26&gt;Parameters!$B$26,ISNUMBER(U26)),IF(U26&lt;0,-1,1),0),0)</f>
        <v>0</v>
      </c>
      <c r="BN26" s="10" t="n">
        <f aca="false">IF(ISNUMBER(AD26),IF(AD26&gt;Parameters!$B$27,1,IF(AD26&lt;Parameters!$B$28,-1,0)),0)</f>
        <v>0</v>
      </c>
      <c r="BO26" s="17" t="n">
        <f aca="false">BG26+BH26+BI26+BJ26+BK26+BL26+BM26+BN26</f>
        <v>5</v>
      </c>
      <c r="BP26" s="10" t="n">
        <f aca="false">IF(ISNUMBER(F26),IF(F26&gt;=Parameters!$B$30,2,IF(F26&gt;=Parameters!$B$31,1,IF(F26&lt;=Parameters!$B$32,-1,0))),0)</f>
        <v>2</v>
      </c>
      <c r="BQ26" s="10" t="n">
        <f aca="false">IF(ISNUMBER(AK26),IF(AK26&gt;Parameters!$B$33,1,IF(AK26&lt;0,-1,0)),0)</f>
        <v>1</v>
      </c>
      <c r="BR26" s="10" t="n">
        <f aca="false">IF(ISNUMBER(AL26),IF(AL26&gt;Parameters!$B$34,1,IF(AL26&lt;0,-1,0)),0)</f>
        <v>1</v>
      </c>
      <c r="BS26" s="10" t="n">
        <f aca="false">IF(ISNUMBER(AP26),IF(AND(AP26&gt;0,AP26&lt;=Parameters!$B$35),1,IF(AP26&gt;Parameters!$B$36,-1,0)),0)</f>
        <v>1</v>
      </c>
      <c r="BT26" s="10" t="n">
        <f aca="false">IF(ISNUMBER(AY26),IF(AY26&gt;Parameters!$B$37,1,IF(AY26&lt;0,-1,0)),0)</f>
        <v>0</v>
      </c>
      <c r="BU26" s="10" t="n">
        <f aca="false">IF(ISNUMBER(AZ26),IF(AZ26&gt;0,1,0),0)</f>
        <v>0</v>
      </c>
      <c r="BV26" s="10" t="n">
        <f aca="false">IF(ISNUMBER(AL26),IF(AL26&gt;Parameters!$B$39,2,IF(AL26&gt;Parameters!$B$40,1,IF(AL26&lt;0,-2,IF(AL26&lt;Parameters!$B$41,-1,0)))),0)</f>
        <v>1</v>
      </c>
      <c r="BW26" s="10" t="n">
        <f aca="false">IF(ISNUMBER(AV26),IF(AV26&gt;Parameters!$B$42,1,IF(AV26&lt;Parameters!$B$43,-1,0)),0)</f>
        <v>1</v>
      </c>
      <c r="BX26" s="10" t="n">
        <f aca="false">IF(AND(ISNUMBER(AX26),AX26&gt;0),1,IF(AND(ISNUMBER(AY26),AY26&lt;Parameters!$B$44),-1,0))</f>
        <v>1</v>
      </c>
      <c r="BY26" s="10" t="n">
        <f aca="false">IF(ISNUMBER(AW26),IF(AW26&gt;0,1,0),0)</f>
        <v>1</v>
      </c>
      <c r="BZ26" s="10" t="n">
        <f aca="false">IF(ISNUMBER(AQ26),IF(AQ26&gt;Parameters!$B$46,-2,IF(AQ26&gt;Parameters!$B$45,-1,0)),0)</f>
        <v>0</v>
      </c>
      <c r="CA26" s="10" t="n">
        <f aca="false">IF(ISNUMBER(F26),IF(F26&gt;=Parameters!$B$47,1,IF(F26&lt;=Parameters!$B$48,-1,0)),0)</f>
        <v>1</v>
      </c>
      <c r="CB26" s="17" t="n">
        <f aca="false">IF(BF26="Established",BP26+BQ26+BR26+BS26+BT26+BU26,IF(BF26="Early",BV26+BW26+BX26+BY26+BZ26+CA26,0))</f>
        <v>5</v>
      </c>
      <c r="CC26" s="18" t="n">
        <f aca="false">IF(BF26="Established",BO26+CB26,IF(BF26="Early",BO26+Parameters!$B$50*CB26,BO26))</f>
        <v>10</v>
      </c>
      <c r="CD26" s="17" t="n">
        <f aca="false">IF(BF26="Established",IF(CC26&gt;=Parameters!$B$51,6,IF(CC26&gt;=Parameters!$B$52,5,IF(CC26&gt;=Parameters!$B$53,4,IF(CC26&gt;=Parameters!$B$54,3,IF(CC26&gt;=Parameters!$B$55,2,1))))),IF(BF26="Early",IF(CC26&gt;=Parameters!$B$56,5,IF(CC26&gt;=Parameters!$B$57,4,IF(CC26&gt;=Parameters!$B$58,3,IF(CC26&gt;=Parameters!$B$59,2,1)))),IF(CC26&gt;=Parameters!$B$60,6,IF(CC26&gt;=Parameters!$B$61,5,IF(CC26&gt;=Parameters!$B$62,4,IF(CC26&gt;=Parameters!$B$63,3,IF(CC26&gt;=Parameters!$B$64,2,1)))))))</f>
        <v>5</v>
      </c>
      <c r="CE26" s="10" t="n">
        <f aca="false">IF(AND(ISNUMBER(AR26),AR26&lt;Parameters!$B$66),1,0)</f>
        <v>0</v>
      </c>
      <c r="CF26" s="10" t="n">
        <f aca="false">IF(AND(LEFT(AH26,5)="Death",ISNUMBER(AG26)),IF(BF26="Early",IF(AND(AG26&lt;Parameters!$B$70,ISNUMBER(U26),U26&lt;Parameters!$B$71),1,0),IF(AND(AG26&lt;Parameters!$B$67,OR(AND(ISNUMBER(U26),U26&lt;Parameters!$B$68),AND(ISNUMBER(V26),V26&lt;Parameters!$B$69))),1,0)),0)</f>
        <v>0</v>
      </c>
      <c r="CG26" s="10" t="n">
        <f aca="false">IF(AND(ISNUMBER(AG26),AG26&lt;0),1,0)</f>
        <v>0</v>
      </c>
      <c r="CH26" s="10" t="n">
        <f aca="false">IF(OR(AND(ISNUMBER(U26),U26&gt;Parameters!$B$74),AND(ISNUMBER(AF26),AF26&gt;Parameters!$B$75),AND(ISNUMBER(AE26),AE26&gt;Parameters!$B$76)),1,0)</f>
        <v>0</v>
      </c>
      <c r="CI26" s="10" t="n">
        <f aca="false">IF(AND(ISNUMBER(BC26),BC26&gt;=0,BC26&lt;=Parameters!$B$77),1,0)</f>
        <v>0</v>
      </c>
      <c r="CJ26" s="17" t="n">
        <f aca="false">IF(CF26=1,1,MIN(CD26,IF(CE26=1,3,6),IF(CG26=1,IF(BF26="Early",Parameters!$B$73,Parameters!$B$72),6),IF(CH26=1,3,6),IF(CI26=1,3,6)))</f>
        <v>5</v>
      </c>
      <c r="CK26" s="10" t="str">
        <f aca="false">INDEX(Parameters!$F$2:$F$7,CJ26)</f>
        <v>Buy</v>
      </c>
      <c r="CL26" s="10" t="str">
        <f aca="false">IF(CF26=1,"Hard sell: breakdown; ","")&amp;IF(CE26=1,"Insufficient history; ","")&amp;IF(AND(CF26=0,CG26=1),"Below 200D; ","")&amp;IF(CH26=1,"Extended - wait for pullback; ","")&amp;IF(CI26=1,"Earnings within "&amp;Parameters!$B$77&amp;"d; ","")</f>
        <v/>
      </c>
    </row>
    <row r="27" customFormat="false" ht="15" hidden="false" customHeight="false" outlineLevel="0" collapsed="false">
      <c r="A27" s="10" t="s">
        <v>368</v>
      </c>
      <c r="B27" s="10" t="n">
        <v>7</v>
      </c>
      <c r="C27" s="10" t="n">
        <v>6</v>
      </c>
      <c r="D27" s="10" t="n">
        <v>55.2</v>
      </c>
      <c r="E27" s="10" t="n">
        <v>-1</v>
      </c>
      <c r="F27" s="10" t="n">
        <v>8</v>
      </c>
      <c r="G27" s="10" t="s">
        <v>369</v>
      </c>
      <c r="H27" s="10" t="s">
        <v>309</v>
      </c>
      <c r="I27" s="10" t="n">
        <v>109.59</v>
      </c>
      <c r="J27" s="10" t="s">
        <v>295</v>
      </c>
      <c r="K27" s="10" t="s">
        <v>296</v>
      </c>
      <c r="L27" s="15" t="n">
        <v>41624327561</v>
      </c>
      <c r="M27" s="16" t="n">
        <v>46232</v>
      </c>
      <c r="N27" s="10" t="n">
        <v>8.7</v>
      </c>
      <c r="O27" s="16" t="n">
        <v>46323</v>
      </c>
      <c r="P27" s="10" t="s">
        <v>297</v>
      </c>
      <c r="Q27" s="10" t="n">
        <v>-2.74</v>
      </c>
      <c r="R27" s="10" t="n">
        <v>-1.43</v>
      </c>
      <c r="S27" s="10" t="n">
        <v>3.44</v>
      </c>
      <c r="T27" s="10" t="n">
        <v>-1.99</v>
      </c>
      <c r="U27" s="10" t="n">
        <v>-10.47</v>
      </c>
      <c r="V27" s="10" t="n">
        <v>-21.44</v>
      </c>
      <c r="W27" s="10" t="n">
        <v>72.88</v>
      </c>
      <c r="X27" s="10" t="n">
        <v>95</v>
      </c>
      <c r="Y27" s="10"/>
      <c r="Z27" s="10"/>
      <c r="AA27" s="10"/>
      <c r="AB27" s="10"/>
      <c r="AC27" s="10" t="n">
        <v>-26.08</v>
      </c>
      <c r="AD27" s="10" t="n">
        <v>-34.32</v>
      </c>
      <c r="AE27" s="10" t="n">
        <v>43.81</v>
      </c>
      <c r="AF27" s="10" t="n">
        <v>-8.98</v>
      </c>
      <c r="AG27" s="10" t="n">
        <v>14.55</v>
      </c>
      <c r="AH27" s="10" t="s">
        <v>301</v>
      </c>
      <c r="AI27" s="10" t="n">
        <v>0.58</v>
      </c>
      <c r="AJ27" s="10" t="n">
        <v>-0.72</v>
      </c>
      <c r="AK27" s="10" t="n">
        <v>48.4</v>
      </c>
      <c r="AL27" s="10" t="n">
        <v>20.6</v>
      </c>
      <c r="AM27" s="10" t="n">
        <v>3.32</v>
      </c>
      <c r="AN27" s="10" t="n">
        <v>18.38</v>
      </c>
      <c r="AO27" s="10" t="n">
        <v>15.4</v>
      </c>
      <c r="AP27" s="10" t="n">
        <v>0.83</v>
      </c>
      <c r="AQ27" s="10" t="n">
        <v>2.56</v>
      </c>
      <c r="AR27" s="10" t="n">
        <v>300</v>
      </c>
      <c r="AS27" s="16" t="n">
        <v>46275</v>
      </c>
      <c r="AT27" s="15" t="n">
        <v>29266999296</v>
      </c>
      <c r="AU27" s="15" t="n">
        <v>2788999936</v>
      </c>
      <c r="AV27" s="10" t="n">
        <v>9.53</v>
      </c>
      <c r="AW27" s="15" t="n">
        <v>973000000</v>
      </c>
      <c r="AX27" s="15" t="n">
        <v>625750016</v>
      </c>
      <c r="AY27" s="10" t="n">
        <v>2.14</v>
      </c>
      <c r="AZ27" s="15" t="n">
        <v>-3089999872</v>
      </c>
      <c r="BA27" s="10" t="n">
        <v>106.5</v>
      </c>
      <c r="BB27" s="10" t="n">
        <v>49.67</v>
      </c>
      <c r="BC27" s="17" t="n">
        <f aca="false">IF(AND(ISNUMBER(O27),ISNUMBER(AS27)),O27-AS27,"")</f>
        <v>48</v>
      </c>
      <c r="BD27" s="10" t="n">
        <f aca="false">IF(OR(ISNUMBER(SEARCH("ETF",H27)),AND(F27="",AO27="")),1,0)</f>
        <v>0</v>
      </c>
      <c r="BE27" s="17" t="n">
        <f aca="false">IF(ISNUMBER(L27),IF(L27&gt;=Parameters!$B$3,2,IF(L27&gt;=Parameters!$B$4,1,0)),0)+IF(ISNUMBER(AW27),IF(AW27&gt;0,IF(AND(ISNUMBER(AM27),AM27&gt;=Parameters!$B$5),2,1),0),0)+IF(ISNUMBER(AX27),IF(AND(AX27&gt;0,ISNUMBER(AY27),AY27&gt;=Parameters!$B$6),1,0),0)+IF(ISNUMBER(AO27),IF(AND(AO27&gt;0,AO27&lt;=Parameters!$B$7),1,0),0)+IF(ISNUMBER(F27),IF(F27&gt;=Parameters!$B$8,1,0),0)</f>
        <v>4</v>
      </c>
      <c r="BF27" s="10" t="str">
        <f aca="false">IF(BD27=1,"ETF",IF(OR(AND(ISNUMBER(L27),L27&gt;=Parameters!$B$10),BE27&gt;=Parameters!$B$9),"Established","Early"))</f>
        <v>Early</v>
      </c>
      <c r="BG27" s="10" t="n">
        <f aca="false">IF(LEFT(AH27,6)="Golden",2,IF(LEFT(AH27,5)="Death",-2,0))</f>
        <v>2</v>
      </c>
      <c r="BH27" s="10" t="n">
        <f aca="false">IF(ISNUMBER(AG27),IF(AG27&gt;Parameters!$B$12,2,IF(AG27&gt;0,1,IF(AG27&gt;=Parameters!$B$13,-1,-2))),0)</f>
        <v>2</v>
      </c>
      <c r="BI27" s="10" t="n">
        <f aca="false">IF(ISNUMBER(AF27),IF(AND(AF27&gt;=Parameters!$B$14,AF27&lt;=Parameters!$B$15),1,IF(OR(AF27&gt;Parameters!$B$16,AF27&lt;Parameters!$B$17),-1,0)),0)</f>
        <v>-1</v>
      </c>
      <c r="BJ27" s="10" t="n">
        <f aca="false">IF(ISNUMBER(AE27),IF(AND(AE27&gt;=Parameters!$B$18,AE27&lt;=Parameters!$B$19),1,IF(OR(AE27&gt;Parameters!$B$20,AE27&lt;Parameters!$B$21),-1,0)),0)</f>
        <v>0</v>
      </c>
      <c r="BK27" s="10" t="n">
        <f aca="false">IF(ISNUMBER(E27),IF(E27&gt;Parameters!$B$22,1,IF(E27&lt;Parameters!$B$23,-1,0)),0)</f>
        <v>0</v>
      </c>
      <c r="BL27" s="10" t="n">
        <f aca="false">IF(ISNUMBER(C27),IF(C27&gt;=Parameters!$B$24,1,IF(C27&lt;=Parameters!$B$25,-1,0)),0)</f>
        <v>0</v>
      </c>
      <c r="BM27" s="10" t="n">
        <f aca="false">IF(ISNUMBER(AJ27),IF(AND(AJ27&gt;Parameters!$B$26,ISNUMBER(U27)),IF(U27&lt;0,-1,1),0),0)</f>
        <v>0</v>
      </c>
      <c r="BN27" s="10" t="n">
        <f aca="false">IF(ISNUMBER(AD27),IF(AD27&gt;Parameters!$B$27,1,IF(AD27&lt;Parameters!$B$28,-1,0)),0)</f>
        <v>-1</v>
      </c>
      <c r="BO27" s="17" t="n">
        <f aca="false">BG27+BH27+BI27+BJ27+BK27+BL27+BM27+BN27</f>
        <v>2</v>
      </c>
      <c r="BP27" s="10" t="n">
        <f aca="false">IF(ISNUMBER(F27),IF(F27&gt;=Parameters!$B$30,2,IF(F27&gt;=Parameters!$B$31,1,IF(F27&lt;=Parameters!$B$32,-1,0))),0)</f>
        <v>2</v>
      </c>
      <c r="BQ27" s="10" t="n">
        <f aca="false">IF(ISNUMBER(AK27),IF(AK27&gt;Parameters!$B$33,1,IF(AK27&lt;0,-1,0)),0)</f>
        <v>1</v>
      </c>
      <c r="BR27" s="10" t="n">
        <f aca="false">IF(ISNUMBER(AL27),IF(AL27&gt;Parameters!$B$34,1,IF(AL27&lt;0,-1,0)),0)</f>
        <v>1</v>
      </c>
      <c r="BS27" s="10" t="n">
        <f aca="false">IF(ISNUMBER(AP27),IF(AND(AP27&gt;0,AP27&lt;=Parameters!$B$35),1,IF(AP27&gt;Parameters!$B$36,-1,0)),0)</f>
        <v>1</v>
      </c>
      <c r="BT27" s="10" t="n">
        <f aca="false">IF(ISNUMBER(AY27),IF(AY27&gt;Parameters!$B$37,1,IF(AY27&lt;0,-1,0)),0)</f>
        <v>0</v>
      </c>
      <c r="BU27" s="10" t="n">
        <f aca="false">IF(ISNUMBER(AZ27),IF(AZ27&gt;0,1,0),0)</f>
        <v>0</v>
      </c>
      <c r="BV27" s="10" t="n">
        <f aca="false">IF(ISNUMBER(AL27),IF(AL27&gt;Parameters!$B$39,2,IF(AL27&gt;Parameters!$B$40,1,IF(AL27&lt;0,-2,IF(AL27&lt;Parameters!$B$41,-1,0)))),0)</f>
        <v>1</v>
      </c>
      <c r="BW27" s="10" t="n">
        <f aca="false">IF(ISNUMBER(AV27),IF(AV27&gt;Parameters!$B$42,1,IF(AV27&lt;Parameters!$B$43,-1,0)),0)</f>
        <v>-1</v>
      </c>
      <c r="BX27" s="10" t="n">
        <f aca="false">IF(AND(ISNUMBER(AX27),AX27&gt;0),1,IF(AND(ISNUMBER(AY27),AY27&lt;Parameters!$B$44),-1,0))</f>
        <v>1</v>
      </c>
      <c r="BY27" s="10" t="n">
        <f aca="false">IF(ISNUMBER(AW27),IF(AW27&gt;0,1,0),0)</f>
        <v>1</v>
      </c>
      <c r="BZ27" s="10" t="n">
        <f aca="false">IF(ISNUMBER(AQ27),IF(AQ27&gt;Parameters!$B$46,-2,IF(AQ27&gt;Parameters!$B$45,-1,0)),0)</f>
        <v>0</v>
      </c>
      <c r="CA27" s="10" t="n">
        <f aca="false">IF(ISNUMBER(F27),IF(F27&gt;=Parameters!$B$47,1,IF(F27&lt;=Parameters!$B$48,-1,0)),0)</f>
        <v>1</v>
      </c>
      <c r="CB27" s="17" t="n">
        <f aca="false">IF(BF27="Established",BP27+BQ27+BR27+BS27+BT27+BU27,IF(BF27="Early",BV27+BW27+BX27+BY27+BZ27+CA27,0))</f>
        <v>3</v>
      </c>
      <c r="CC27" s="18" t="n">
        <f aca="false">IF(BF27="Established",BO27+CB27,IF(BF27="Early",BO27+Parameters!$B$50*CB27,BO27))</f>
        <v>3.5</v>
      </c>
      <c r="CD27" s="17" t="n">
        <f aca="false">IF(BF27="Established",IF(CC27&gt;=Parameters!$B$51,6,IF(CC27&gt;=Parameters!$B$52,5,IF(CC27&gt;=Parameters!$B$53,4,IF(CC27&gt;=Parameters!$B$54,3,IF(CC27&gt;=Parameters!$B$55,2,1))))),IF(BF27="Early",IF(CC27&gt;=Parameters!$B$56,5,IF(CC27&gt;=Parameters!$B$57,4,IF(CC27&gt;=Parameters!$B$58,3,IF(CC27&gt;=Parameters!$B$59,2,1)))),IF(CC27&gt;=Parameters!$B$60,6,IF(CC27&gt;=Parameters!$B$61,5,IF(CC27&gt;=Parameters!$B$62,4,IF(CC27&gt;=Parameters!$B$63,3,IF(CC27&gt;=Parameters!$B$64,2,1)))))))</f>
        <v>3</v>
      </c>
      <c r="CE27" s="10" t="n">
        <f aca="false">IF(AND(ISNUMBER(AR27),AR27&lt;Parameters!$B$66),1,0)</f>
        <v>0</v>
      </c>
      <c r="CF27" s="10" t="n">
        <f aca="false">IF(AND(LEFT(AH27,5)="Death",ISNUMBER(AG27)),IF(BF27="Early",IF(AND(AG27&lt;Parameters!$B$70,ISNUMBER(U27),U27&lt;Parameters!$B$71),1,0),IF(AND(AG27&lt;Parameters!$B$67,OR(AND(ISNUMBER(U27),U27&lt;Parameters!$B$68),AND(ISNUMBER(V27),V27&lt;Parameters!$B$69))),1,0)),0)</f>
        <v>0</v>
      </c>
      <c r="CG27" s="10" t="n">
        <f aca="false">IF(AND(ISNUMBER(AG27),AG27&lt;0),1,0)</f>
        <v>0</v>
      </c>
      <c r="CH27" s="10" t="n">
        <f aca="false">IF(OR(AND(ISNUMBER(U27),U27&gt;Parameters!$B$74),AND(ISNUMBER(AF27),AF27&gt;Parameters!$B$75),AND(ISNUMBER(AE27),AE27&gt;Parameters!$B$76)),1,0)</f>
        <v>0</v>
      </c>
      <c r="CI27" s="10" t="n">
        <f aca="false">IF(AND(ISNUMBER(BC27),BC27&gt;=0,BC27&lt;=Parameters!$B$77),1,0)</f>
        <v>0</v>
      </c>
      <c r="CJ27" s="17" t="n">
        <f aca="false">IF(CF27=1,1,MIN(CD27,IF(CE27=1,3,6),IF(CG27=1,IF(BF27="Early",Parameters!$B$73,Parameters!$B$72),6),IF(CH27=1,3,6),IF(CI27=1,3,6)))</f>
        <v>3</v>
      </c>
      <c r="CK27" s="10" t="str">
        <f aca="false">INDEX(Parameters!$F$2:$F$7,CJ27)</f>
        <v>Hold</v>
      </c>
      <c r="CL27" s="10" t="str">
        <f aca="false">IF(CF27=1,"Hard sell: breakdown; ","")&amp;IF(CE27=1,"Insufficient history; ","")&amp;IF(AND(CF27=0,CG27=1),"Below 200D; ","")&amp;IF(CH27=1,"Extended - wait for pullback; ","")&amp;IF(CI27=1,"Earnings within "&amp;Parameters!$B$77&amp;"d; ","")</f>
        <v/>
      </c>
    </row>
    <row r="28" customFormat="false" ht="15" hidden="false" customHeight="false" outlineLevel="0" collapsed="false">
      <c r="A28" s="10" t="s">
        <v>370</v>
      </c>
      <c r="B28" s="10" t="n">
        <v>7</v>
      </c>
      <c r="C28" s="10" t="n">
        <v>7</v>
      </c>
      <c r="D28" s="10" t="n">
        <v>66.3</v>
      </c>
      <c r="E28" s="10" t="n">
        <v>-2.1</v>
      </c>
      <c r="F28" s="10"/>
      <c r="G28" s="10" t="s">
        <v>371</v>
      </c>
      <c r="H28" s="10" t="s">
        <v>363</v>
      </c>
      <c r="I28" s="10" t="n">
        <v>41.32</v>
      </c>
      <c r="J28" s="10" t="s">
        <v>295</v>
      </c>
      <c r="K28" s="10"/>
      <c r="L28" s="15"/>
      <c r="M28" s="16" t="n">
        <v>46114</v>
      </c>
      <c r="N28" s="10" t="n">
        <v>14.52</v>
      </c>
      <c r="O28" s="16" t="n">
        <v>46205</v>
      </c>
      <c r="P28" s="10" t="s">
        <v>297</v>
      </c>
      <c r="Q28" s="10" t="n">
        <v>1.09</v>
      </c>
      <c r="R28" s="10" t="n">
        <v>0.07</v>
      </c>
      <c r="S28" s="10" t="n">
        <v>1.86</v>
      </c>
      <c r="T28" s="10" t="n">
        <v>3.34</v>
      </c>
      <c r="U28" s="10" t="n">
        <v>-3.74</v>
      </c>
      <c r="V28" s="10" t="n">
        <v>23</v>
      </c>
      <c r="W28" s="10" t="n">
        <v>54.45</v>
      </c>
      <c r="X28" s="10" t="n">
        <v>20.24</v>
      </c>
      <c r="Y28" s="10"/>
      <c r="Z28" s="10"/>
      <c r="AA28" s="10"/>
      <c r="AB28" s="10"/>
      <c r="AC28" s="10" t="n">
        <v>18.36</v>
      </c>
      <c r="AD28" s="10" t="n">
        <v>-7.26</v>
      </c>
      <c r="AE28" s="10" t="n">
        <v>51.1</v>
      </c>
      <c r="AF28" s="10" t="n">
        <v>1.81</v>
      </c>
      <c r="AG28" s="10" t="n">
        <v>27.81</v>
      </c>
      <c r="AH28" s="10" t="s">
        <v>372</v>
      </c>
      <c r="AI28" s="10" t="n">
        <v>-0.2</v>
      </c>
      <c r="AJ28" s="10" t="n">
        <v>-34.75</v>
      </c>
      <c r="AK28" s="10"/>
      <c r="AL28" s="10"/>
      <c r="AM28" s="10"/>
      <c r="AN28" s="10"/>
      <c r="AO28" s="10"/>
      <c r="AP28" s="10"/>
      <c r="AQ28" s="10"/>
      <c r="AR28" s="10" t="n">
        <v>300</v>
      </c>
      <c r="AS28" s="16" t="n">
        <v>46275</v>
      </c>
      <c r="AT28" s="15" t="n">
        <v>0</v>
      </c>
      <c r="AU28" s="15" t="n">
        <v>0</v>
      </c>
      <c r="AV28" s="10"/>
      <c r="AW28" s="15" t="n">
        <v>0</v>
      </c>
      <c r="AX28" s="15" t="n">
        <v>0</v>
      </c>
      <c r="AY28" s="10"/>
      <c r="AZ28" s="15" t="n">
        <v>0</v>
      </c>
      <c r="BA28" s="10" t="n">
        <v>78.51</v>
      </c>
      <c r="BB28" s="10" t="n">
        <v>84.89</v>
      </c>
      <c r="BC28" s="17" t="n">
        <f aca="false">IF(AND(ISNUMBER(O28),ISNUMBER(AS28)),O28-AS28,"")</f>
        <v>-70</v>
      </c>
      <c r="BD28" s="10" t="n">
        <f aca="false">IF(OR(ISNUMBER(SEARCH("ETF",H28)),AND(F28="",AO28="")),1,0)</f>
        <v>1</v>
      </c>
      <c r="BE28" s="17" t="n">
        <f aca="false">IF(ISNUMBER(L28),IF(L28&gt;=Parameters!$B$3,2,IF(L28&gt;=Parameters!$B$4,1,0)),0)+IF(ISNUMBER(AW28),IF(AW28&gt;0,IF(AND(ISNUMBER(AM28),AM28&gt;=Parameters!$B$5),2,1),0),0)+IF(ISNUMBER(AX28),IF(AND(AX28&gt;0,ISNUMBER(AY28),AY28&gt;=Parameters!$B$6),1,0),0)+IF(ISNUMBER(AO28),IF(AND(AO28&gt;0,AO28&lt;=Parameters!$B$7),1,0),0)+IF(ISNUMBER(F28),IF(F28&gt;=Parameters!$B$8,1,0),0)</f>
        <v>0</v>
      </c>
      <c r="BF28" s="10" t="str">
        <f aca="false">IF(BD28=1,"ETF",IF(OR(AND(ISNUMBER(L28),L28&gt;=Parameters!$B$10),BE28&gt;=Parameters!$B$9),"Established","Early"))</f>
        <v>ETF</v>
      </c>
      <c r="BG28" s="10" t="n">
        <f aca="false">IF(LEFT(AH28,6)="Golden",2,IF(LEFT(AH28,5)="Death",-2,0))</f>
        <v>2</v>
      </c>
      <c r="BH28" s="10" t="n">
        <f aca="false">IF(ISNUMBER(AG28),IF(AG28&gt;Parameters!$B$12,2,IF(AG28&gt;0,1,IF(AG28&gt;=Parameters!$B$13,-1,-2))),0)</f>
        <v>2</v>
      </c>
      <c r="BI28" s="10" t="n">
        <f aca="false">IF(ISNUMBER(AF28),IF(AND(AF28&gt;=Parameters!$B$14,AF28&lt;=Parameters!$B$15),1,IF(OR(AF28&gt;Parameters!$B$16,AF28&lt;Parameters!$B$17),-1,0)),0)</f>
        <v>1</v>
      </c>
      <c r="BJ28" s="10" t="n">
        <f aca="false">IF(ISNUMBER(AE28),IF(AND(AE28&gt;=Parameters!$B$18,AE28&lt;=Parameters!$B$19),1,IF(OR(AE28&gt;Parameters!$B$20,AE28&lt;Parameters!$B$21),-1,0)),0)</f>
        <v>1</v>
      </c>
      <c r="BK28" s="10" t="n">
        <f aca="false">IF(ISNUMBER(E28),IF(E28&gt;Parameters!$B$22,1,IF(E28&lt;Parameters!$B$23,-1,0)),0)</f>
        <v>0</v>
      </c>
      <c r="BL28" s="10" t="n">
        <f aca="false">IF(ISNUMBER(C28),IF(C28&gt;=Parameters!$B$24,1,IF(C28&lt;=Parameters!$B$25,-1,0)),0)</f>
        <v>1</v>
      </c>
      <c r="BM28" s="10" t="n">
        <f aca="false">IF(ISNUMBER(AJ28),IF(AND(AJ28&gt;Parameters!$B$26,ISNUMBER(U28)),IF(U28&lt;0,-1,1),0),0)</f>
        <v>0</v>
      </c>
      <c r="BN28" s="10" t="n">
        <f aca="false">IF(ISNUMBER(AD28),IF(AD28&gt;Parameters!$B$27,1,IF(AD28&lt;Parameters!$B$28,-1,0)),0)</f>
        <v>1</v>
      </c>
      <c r="BO28" s="17" t="n">
        <f aca="false">BG28+BH28+BI28+BJ28+BK28+BL28+BM28+BN28</f>
        <v>8</v>
      </c>
      <c r="BP28" s="10" t="n">
        <f aca="false">IF(ISNUMBER(F28),IF(F28&gt;=Parameters!$B$30,2,IF(F28&gt;=Parameters!$B$31,1,IF(F28&lt;=Parameters!$B$32,-1,0))),0)</f>
        <v>0</v>
      </c>
      <c r="BQ28" s="10" t="n">
        <f aca="false">IF(ISNUMBER(AK28),IF(AK28&gt;Parameters!$B$33,1,IF(AK28&lt;0,-1,0)),0)</f>
        <v>0</v>
      </c>
      <c r="BR28" s="10" t="n">
        <f aca="false">IF(ISNUMBER(AL28),IF(AL28&gt;Parameters!$B$34,1,IF(AL28&lt;0,-1,0)),0)</f>
        <v>0</v>
      </c>
      <c r="BS28" s="10" t="n">
        <f aca="false">IF(ISNUMBER(AP28),IF(AND(AP28&gt;0,AP28&lt;=Parameters!$B$35),1,IF(AP28&gt;Parameters!$B$36,-1,0)),0)</f>
        <v>0</v>
      </c>
      <c r="BT28" s="10" t="n">
        <f aca="false">IF(ISNUMBER(AY28),IF(AY28&gt;Parameters!$B$37,1,IF(AY28&lt;0,-1,0)),0)</f>
        <v>0</v>
      </c>
      <c r="BU28" s="10" t="n">
        <f aca="false">IF(ISNUMBER(AZ28),IF(AZ28&gt;0,1,0),0)</f>
        <v>0</v>
      </c>
      <c r="BV28" s="10" t="n">
        <f aca="false">IF(ISNUMBER(AL28),IF(AL28&gt;Parameters!$B$39,2,IF(AL28&gt;Parameters!$B$40,1,IF(AL28&lt;0,-2,IF(AL28&lt;Parameters!$B$41,-1,0)))),0)</f>
        <v>0</v>
      </c>
      <c r="BW28" s="10" t="n">
        <f aca="false">IF(ISNUMBER(AV28),IF(AV28&gt;Parameters!$B$42,1,IF(AV28&lt;Parameters!$B$43,-1,0)),0)</f>
        <v>0</v>
      </c>
      <c r="BX28" s="10" t="n">
        <f aca="false">IF(AND(ISNUMBER(AX28),AX28&gt;0),1,IF(AND(ISNUMBER(AY28),AY28&lt;Parameters!$B$44),-1,0))</f>
        <v>0</v>
      </c>
      <c r="BY28" s="10" t="n">
        <f aca="false">IF(ISNUMBER(AW28),IF(AW28&gt;0,1,0),0)</f>
        <v>0</v>
      </c>
      <c r="BZ28" s="10" t="n">
        <f aca="false">IF(ISNUMBER(AQ28),IF(AQ28&gt;Parameters!$B$46,-2,IF(AQ28&gt;Parameters!$B$45,-1,0)),0)</f>
        <v>0</v>
      </c>
      <c r="CA28" s="10" t="n">
        <f aca="false">IF(ISNUMBER(F28),IF(F28&gt;=Parameters!$B$47,1,IF(F28&lt;=Parameters!$B$48,-1,0)),0)</f>
        <v>0</v>
      </c>
      <c r="CB28" s="17" t="n">
        <f aca="false">IF(BF28="Established",BP28+BQ28+BR28+BS28+BT28+BU28,IF(BF28="Early",BV28+BW28+BX28+BY28+BZ28+CA28,0))</f>
        <v>0</v>
      </c>
      <c r="CC28" s="18" t="n">
        <f aca="false">IF(BF28="Established",BO28+CB28,IF(BF28="Early",BO28+Parameters!$B$50*CB28,BO28))</f>
        <v>8</v>
      </c>
      <c r="CD28" s="17" t="n">
        <f aca="false">IF(BF28="Established",IF(CC28&gt;=Parameters!$B$51,6,IF(CC28&gt;=Parameters!$B$52,5,IF(CC28&gt;=Parameters!$B$53,4,IF(CC28&gt;=Parameters!$B$54,3,IF(CC28&gt;=Parameters!$B$55,2,1))))),IF(BF28="Early",IF(CC28&gt;=Parameters!$B$56,5,IF(CC28&gt;=Parameters!$B$57,4,IF(CC28&gt;=Parameters!$B$58,3,IF(CC28&gt;=Parameters!$B$59,2,1)))),IF(CC28&gt;=Parameters!$B$60,6,IF(CC28&gt;=Parameters!$B$61,5,IF(CC28&gt;=Parameters!$B$62,4,IF(CC28&gt;=Parameters!$B$63,3,IF(CC28&gt;=Parameters!$B$64,2,1)))))))</f>
        <v>6</v>
      </c>
      <c r="CE28" s="10" t="n">
        <f aca="false">IF(AND(ISNUMBER(AR28),AR28&lt;Parameters!$B$66),1,0)</f>
        <v>0</v>
      </c>
      <c r="CF28" s="10" t="n">
        <f aca="false">IF(AND(LEFT(AH28,5)="Death",ISNUMBER(AG28)),IF(BF28="Early",IF(AND(AG28&lt;Parameters!$B$70,ISNUMBER(U28),U28&lt;Parameters!$B$71),1,0),IF(AND(AG28&lt;Parameters!$B$67,OR(AND(ISNUMBER(U28),U28&lt;Parameters!$B$68),AND(ISNUMBER(V28),V28&lt;Parameters!$B$69))),1,0)),0)</f>
        <v>0</v>
      </c>
      <c r="CG28" s="10" t="n">
        <f aca="false">IF(AND(ISNUMBER(AG28),AG28&lt;0),1,0)</f>
        <v>0</v>
      </c>
      <c r="CH28" s="10" t="n">
        <f aca="false">IF(OR(AND(ISNUMBER(U28),U28&gt;Parameters!$B$74),AND(ISNUMBER(AF28),AF28&gt;Parameters!$B$75),AND(ISNUMBER(AE28),AE28&gt;Parameters!$B$76)),1,0)</f>
        <v>0</v>
      </c>
      <c r="CI28" s="10" t="n">
        <f aca="false">IF(AND(ISNUMBER(BC28),BC28&gt;=0,BC28&lt;=Parameters!$B$77),1,0)</f>
        <v>0</v>
      </c>
      <c r="CJ28" s="17" t="n">
        <f aca="false">IF(CF28=1,1,MIN(CD28,IF(CE28=1,3,6),IF(CG28=1,IF(BF28="Early",Parameters!$B$73,Parameters!$B$72),6),IF(CH28=1,3,6),IF(CI28=1,3,6)))</f>
        <v>6</v>
      </c>
      <c r="CK28" s="10" t="str">
        <f aca="false">INDEX(Parameters!$F$2:$F$7,CJ28)</f>
        <v>Strong Buy</v>
      </c>
      <c r="CL28" s="10" t="str">
        <f aca="false">IF(CF28=1,"Hard sell: breakdown; ","")&amp;IF(CE28=1,"Insufficient history; ","")&amp;IF(AND(CF28=0,CG28=1),"Below 200D; ","")&amp;IF(CH28=1,"Extended - wait for pullback; ","")&amp;IF(CI28=1,"Earnings within "&amp;Parameters!$B$77&amp;"d; ","")</f>
        <v/>
      </c>
    </row>
    <row r="29" customFormat="false" ht="15" hidden="false" customHeight="false" outlineLevel="0" collapsed="false">
      <c r="A29" s="10" t="s">
        <v>373</v>
      </c>
      <c r="B29" s="10" t="n">
        <v>7</v>
      </c>
      <c r="C29" s="10" t="n">
        <v>7</v>
      </c>
      <c r="D29" s="10" t="n">
        <v>56.4</v>
      </c>
      <c r="E29" s="10" t="n">
        <v>7.2</v>
      </c>
      <c r="F29" s="10"/>
      <c r="G29" s="10" t="s">
        <v>374</v>
      </c>
      <c r="H29" s="10" t="s">
        <v>317</v>
      </c>
      <c r="I29" s="10" t="n">
        <v>563.67</v>
      </c>
      <c r="J29" s="10" t="s">
        <v>295</v>
      </c>
      <c r="K29" s="10"/>
      <c r="L29" s="15" t="n">
        <v>5911077376</v>
      </c>
      <c r="M29" s="16" t="n">
        <v>46211</v>
      </c>
      <c r="N29" s="10" t="n">
        <v>25</v>
      </c>
      <c r="O29" s="16" t="n">
        <v>46302</v>
      </c>
      <c r="P29" s="10" t="s">
        <v>297</v>
      </c>
      <c r="Q29" s="10" t="n">
        <v>-1.85</v>
      </c>
      <c r="R29" s="10" t="n">
        <v>0.1</v>
      </c>
      <c r="S29" s="10" t="n">
        <v>2.4</v>
      </c>
      <c r="T29" s="10" t="n">
        <v>1.42</v>
      </c>
      <c r="U29" s="10" t="n">
        <v>-1.62</v>
      </c>
      <c r="V29" s="10" t="n">
        <v>-1.27</v>
      </c>
      <c r="W29" s="10" t="n">
        <v>40.56</v>
      </c>
      <c r="X29" s="10" t="n">
        <v>89.27</v>
      </c>
      <c r="Y29" s="10"/>
      <c r="Z29" s="10"/>
      <c r="AA29" s="10"/>
      <c r="AB29" s="10"/>
      <c r="AC29" s="10" t="n">
        <v>-5.91</v>
      </c>
      <c r="AD29" s="10" t="n">
        <v>-16.1</v>
      </c>
      <c r="AE29" s="10" t="n">
        <v>49.37</v>
      </c>
      <c r="AF29" s="10" t="n">
        <v>-1.15</v>
      </c>
      <c r="AG29" s="10" t="n">
        <v>17.2</v>
      </c>
      <c r="AH29" s="10" t="s">
        <v>301</v>
      </c>
      <c r="AI29" s="10" t="n">
        <v>1.82</v>
      </c>
      <c r="AJ29" s="10" t="n">
        <v>-16.48</v>
      </c>
      <c r="AK29" s="10"/>
      <c r="AL29" s="10"/>
      <c r="AM29" s="10"/>
      <c r="AN29" s="10"/>
      <c r="AO29" s="10"/>
      <c r="AP29" s="10"/>
      <c r="AQ29" s="10"/>
      <c r="AR29" s="10" t="n">
        <v>300</v>
      </c>
      <c r="AS29" s="16" t="n">
        <v>46275</v>
      </c>
      <c r="AT29" s="15" t="n">
        <v>0</v>
      </c>
      <c r="AU29" s="15" t="n">
        <v>0</v>
      </c>
      <c r="AV29" s="10"/>
      <c r="AW29" s="15" t="n">
        <v>0</v>
      </c>
      <c r="AX29" s="15" t="n">
        <v>0</v>
      </c>
      <c r="AY29" s="10"/>
      <c r="AZ29" s="15" t="n">
        <v>0</v>
      </c>
      <c r="BA29" s="10" t="n">
        <v>88.66</v>
      </c>
      <c r="BB29" s="10" t="n">
        <v>71.01</v>
      </c>
      <c r="BC29" s="17" t="n">
        <f aca="false">IF(AND(ISNUMBER(O29),ISNUMBER(AS29)),O29-AS29,"")</f>
        <v>27</v>
      </c>
      <c r="BD29" s="10" t="n">
        <f aca="false">IF(OR(ISNUMBER(SEARCH("ETF",H29)),AND(F29="",AO29="")),1,0)</f>
        <v>1</v>
      </c>
      <c r="BE29" s="17" t="n">
        <f aca="false">IF(ISNUMBER(L29),IF(L29&gt;=Parameters!$B$3,2,IF(L29&gt;=Parameters!$B$4,1,0)),0)+IF(ISNUMBER(AW29),IF(AW29&gt;0,IF(AND(ISNUMBER(AM29),AM29&gt;=Parameters!$B$5),2,1),0),0)+IF(ISNUMBER(AX29),IF(AND(AX29&gt;0,ISNUMBER(AY29),AY29&gt;=Parameters!$B$6),1,0),0)+IF(ISNUMBER(AO29),IF(AND(AO29&gt;0,AO29&lt;=Parameters!$B$7),1,0),0)+IF(ISNUMBER(F29),IF(F29&gt;=Parameters!$B$8,1,0),0)</f>
        <v>0</v>
      </c>
      <c r="BF29" s="10" t="str">
        <f aca="false">IF(BD29=1,"ETF",IF(OR(AND(ISNUMBER(L29),L29&gt;=Parameters!$B$10),BE29&gt;=Parameters!$B$9),"Established","Early"))</f>
        <v>ETF</v>
      </c>
      <c r="BG29" s="10" t="n">
        <f aca="false">IF(LEFT(AH29,6)="Golden",2,IF(LEFT(AH29,5)="Death",-2,0))</f>
        <v>2</v>
      </c>
      <c r="BH29" s="10" t="n">
        <f aca="false">IF(ISNUMBER(AG29),IF(AG29&gt;Parameters!$B$12,2,IF(AG29&gt;0,1,IF(AG29&gt;=Parameters!$B$13,-1,-2))),0)</f>
        <v>2</v>
      </c>
      <c r="BI29" s="10" t="n">
        <f aca="false">IF(ISNUMBER(AF29),IF(AND(AF29&gt;=Parameters!$B$14,AF29&lt;=Parameters!$B$15),1,IF(OR(AF29&gt;Parameters!$B$16,AF29&lt;Parameters!$B$17),-1,0)),0)</f>
        <v>1</v>
      </c>
      <c r="BJ29" s="10" t="n">
        <f aca="false">IF(ISNUMBER(AE29),IF(AND(AE29&gt;=Parameters!$B$18,AE29&lt;=Parameters!$B$19),1,IF(OR(AE29&gt;Parameters!$B$20,AE29&lt;Parameters!$B$21),-1,0)),0)</f>
        <v>1</v>
      </c>
      <c r="BK29" s="10" t="n">
        <f aca="false">IF(ISNUMBER(E29),IF(E29&gt;Parameters!$B$22,1,IF(E29&lt;Parameters!$B$23,-1,0)),0)</f>
        <v>1</v>
      </c>
      <c r="BL29" s="10" t="n">
        <f aca="false">IF(ISNUMBER(C29),IF(C29&gt;=Parameters!$B$24,1,IF(C29&lt;=Parameters!$B$25,-1,0)),0)</f>
        <v>1</v>
      </c>
      <c r="BM29" s="10" t="n">
        <f aca="false">IF(ISNUMBER(AJ29),IF(AND(AJ29&gt;Parameters!$B$26,ISNUMBER(U29)),IF(U29&lt;0,-1,1),0),0)</f>
        <v>0</v>
      </c>
      <c r="BN29" s="10" t="n">
        <f aca="false">IF(ISNUMBER(AD29),IF(AD29&gt;Parameters!$B$27,1,IF(AD29&lt;Parameters!$B$28,-1,0)),0)</f>
        <v>0</v>
      </c>
      <c r="BO29" s="17" t="n">
        <f aca="false">BG29+BH29+BI29+BJ29+BK29+BL29+BM29+BN29</f>
        <v>8</v>
      </c>
      <c r="BP29" s="10" t="n">
        <f aca="false">IF(ISNUMBER(F29),IF(F29&gt;=Parameters!$B$30,2,IF(F29&gt;=Parameters!$B$31,1,IF(F29&lt;=Parameters!$B$32,-1,0))),0)</f>
        <v>0</v>
      </c>
      <c r="BQ29" s="10" t="n">
        <f aca="false">IF(ISNUMBER(AK29),IF(AK29&gt;Parameters!$B$33,1,IF(AK29&lt;0,-1,0)),0)</f>
        <v>0</v>
      </c>
      <c r="BR29" s="10" t="n">
        <f aca="false">IF(ISNUMBER(AL29),IF(AL29&gt;Parameters!$B$34,1,IF(AL29&lt;0,-1,0)),0)</f>
        <v>0</v>
      </c>
      <c r="BS29" s="10" t="n">
        <f aca="false">IF(ISNUMBER(AP29),IF(AND(AP29&gt;0,AP29&lt;=Parameters!$B$35),1,IF(AP29&gt;Parameters!$B$36,-1,0)),0)</f>
        <v>0</v>
      </c>
      <c r="BT29" s="10" t="n">
        <f aca="false">IF(ISNUMBER(AY29),IF(AY29&gt;Parameters!$B$37,1,IF(AY29&lt;0,-1,0)),0)</f>
        <v>0</v>
      </c>
      <c r="BU29" s="10" t="n">
        <f aca="false">IF(ISNUMBER(AZ29),IF(AZ29&gt;0,1,0),0)</f>
        <v>0</v>
      </c>
      <c r="BV29" s="10" t="n">
        <f aca="false">IF(ISNUMBER(AL29),IF(AL29&gt;Parameters!$B$39,2,IF(AL29&gt;Parameters!$B$40,1,IF(AL29&lt;0,-2,IF(AL29&lt;Parameters!$B$41,-1,0)))),0)</f>
        <v>0</v>
      </c>
      <c r="BW29" s="10" t="n">
        <f aca="false">IF(ISNUMBER(AV29),IF(AV29&gt;Parameters!$B$42,1,IF(AV29&lt;Parameters!$B$43,-1,0)),0)</f>
        <v>0</v>
      </c>
      <c r="BX29" s="10" t="n">
        <f aca="false">IF(AND(ISNUMBER(AX29),AX29&gt;0),1,IF(AND(ISNUMBER(AY29),AY29&lt;Parameters!$B$44),-1,0))</f>
        <v>0</v>
      </c>
      <c r="BY29" s="10" t="n">
        <f aca="false">IF(ISNUMBER(AW29),IF(AW29&gt;0,1,0),0)</f>
        <v>0</v>
      </c>
      <c r="BZ29" s="10" t="n">
        <f aca="false">IF(ISNUMBER(AQ29),IF(AQ29&gt;Parameters!$B$46,-2,IF(AQ29&gt;Parameters!$B$45,-1,0)),0)</f>
        <v>0</v>
      </c>
      <c r="CA29" s="10" t="n">
        <f aca="false">IF(ISNUMBER(F29),IF(F29&gt;=Parameters!$B$47,1,IF(F29&lt;=Parameters!$B$48,-1,0)),0)</f>
        <v>0</v>
      </c>
      <c r="CB29" s="17" t="n">
        <f aca="false">IF(BF29="Established",BP29+BQ29+BR29+BS29+BT29+BU29,IF(BF29="Early",BV29+BW29+BX29+BY29+BZ29+CA29,0))</f>
        <v>0</v>
      </c>
      <c r="CC29" s="18" t="n">
        <f aca="false">IF(BF29="Established",BO29+CB29,IF(BF29="Early",BO29+Parameters!$B$50*CB29,BO29))</f>
        <v>8</v>
      </c>
      <c r="CD29" s="17" t="n">
        <f aca="false">IF(BF29="Established",IF(CC29&gt;=Parameters!$B$51,6,IF(CC29&gt;=Parameters!$B$52,5,IF(CC29&gt;=Parameters!$B$53,4,IF(CC29&gt;=Parameters!$B$54,3,IF(CC29&gt;=Parameters!$B$55,2,1))))),IF(BF29="Early",IF(CC29&gt;=Parameters!$B$56,5,IF(CC29&gt;=Parameters!$B$57,4,IF(CC29&gt;=Parameters!$B$58,3,IF(CC29&gt;=Parameters!$B$59,2,1)))),IF(CC29&gt;=Parameters!$B$60,6,IF(CC29&gt;=Parameters!$B$61,5,IF(CC29&gt;=Parameters!$B$62,4,IF(CC29&gt;=Parameters!$B$63,3,IF(CC29&gt;=Parameters!$B$64,2,1)))))))</f>
        <v>6</v>
      </c>
      <c r="CE29" s="10" t="n">
        <f aca="false">IF(AND(ISNUMBER(AR29),AR29&lt;Parameters!$B$66),1,0)</f>
        <v>0</v>
      </c>
      <c r="CF29" s="10" t="n">
        <f aca="false">IF(AND(LEFT(AH29,5)="Death",ISNUMBER(AG29)),IF(BF29="Early",IF(AND(AG29&lt;Parameters!$B$70,ISNUMBER(U29),U29&lt;Parameters!$B$71),1,0),IF(AND(AG29&lt;Parameters!$B$67,OR(AND(ISNUMBER(U29),U29&lt;Parameters!$B$68),AND(ISNUMBER(V29),V29&lt;Parameters!$B$69))),1,0)),0)</f>
        <v>0</v>
      </c>
      <c r="CG29" s="10" t="n">
        <f aca="false">IF(AND(ISNUMBER(AG29),AG29&lt;0),1,0)</f>
        <v>0</v>
      </c>
      <c r="CH29" s="10" t="n">
        <f aca="false">IF(OR(AND(ISNUMBER(U29),U29&gt;Parameters!$B$74),AND(ISNUMBER(AF29),AF29&gt;Parameters!$B$75),AND(ISNUMBER(AE29),AE29&gt;Parameters!$B$76)),1,0)</f>
        <v>0</v>
      </c>
      <c r="CI29" s="10" t="n">
        <f aca="false">IF(AND(ISNUMBER(BC29),BC29&gt;=0,BC29&lt;=Parameters!$B$77),1,0)</f>
        <v>0</v>
      </c>
      <c r="CJ29" s="17" t="n">
        <f aca="false">IF(CF29=1,1,MIN(CD29,IF(CE29=1,3,6),IF(CG29=1,IF(BF29="Early",Parameters!$B$73,Parameters!$B$72),6),IF(CH29=1,3,6),IF(CI29=1,3,6)))</f>
        <v>6</v>
      </c>
      <c r="CK29" s="10" t="str">
        <f aca="false">INDEX(Parameters!$F$2:$F$7,CJ29)</f>
        <v>Strong Buy</v>
      </c>
      <c r="CL29" s="10" t="str">
        <f aca="false">IF(CF29=1,"Hard sell: breakdown; ","")&amp;IF(CE29=1,"Insufficient history; ","")&amp;IF(AND(CF29=0,CG29=1),"Below 200D; ","")&amp;IF(CH29=1,"Extended - wait for pullback; ","")&amp;IF(CI29=1,"Earnings within "&amp;Parameters!$B$77&amp;"d; ","")</f>
        <v/>
      </c>
    </row>
    <row r="30" customFormat="false" ht="15" hidden="false" customHeight="false" outlineLevel="0" collapsed="false">
      <c r="A30" s="10" t="s">
        <v>375</v>
      </c>
      <c r="B30" s="10" t="n">
        <v>7</v>
      </c>
      <c r="C30" s="10" t="n">
        <v>5</v>
      </c>
      <c r="D30" s="10" t="n">
        <v>32.6</v>
      </c>
      <c r="E30" s="10" t="n">
        <v>16.9</v>
      </c>
      <c r="F30" s="10" t="n">
        <v>9</v>
      </c>
      <c r="G30" s="10" t="s">
        <v>376</v>
      </c>
      <c r="H30" s="10" t="s">
        <v>314</v>
      </c>
      <c r="I30" s="10" t="n">
        <v>244.84</v>
      </c>
      <c r="J30" s="10" t="s">
        <v>295</v>
      </c>
      <c r="K30" s="10" t="s">
        <v>296</v>
      </c>
      <c r="L30" s="15" t="n">
        <v>200943680000</v>
      </c>
      <c r="M30" s="16" t="n">
        <v>46260</v>
      </c>
      <c r="N30" s="10" t="n">
        <v>80.43</v>
      </c>
      <c r="O30" s="16" t="n">
        <v>46351</v>
      </c>
      <c r="P30" s="10" t="s">
        <v>297</v>
      </c>
      <c r="Q30" s="10" t="n">
        <v>0.28</v>
      </c>
      <c r="R30" s="10" t="n">
        <v>-1.99</v>
      </c>
      <c r="S30" s="10" t="n">
        <v>-4.71</v>
      </c>
      <c r="T30" s="10" t="n">
        <v>19.07</v>
      </c>
      <c r="U30" s="10" t="n">
        <v>23.99</v>
      </c>
      <c r="V30" s="10" t="n">
        <v>43.25</v>
      </c>
      <c r="W30" s="10" t="n">
        <v>26.12</v>
      </c>
      <c r="X30" s="10" t="n">
        <v>-2.86</v>
      </c>
      <c r="Y30" s="10"/>
      <c r="Z30" s="10"/>
      <c r="AA30" s="10"/>
      <c r="AB30" s="10"/>
      <c r="AC30" s="10" t="n">
        <v>38.61</v>
      </c>
      <c r="AD30" s="10" t="n">
        <v>-9.02</v>
      </c>
      <c r="AE30" s="10" t="n">
        <v>63.88</v>
      </c>
      <c r="AF30" s="10" t="n">
        <v>24.31</v>
      </c>
      <c r="AG30" s="10" t="n">
        <v>21.81</v>
      </c>
      <c r="AH30" s="10" t="s">
        <v>377</v>
      </c>
      <c r="AI30" s="10" t="n">
        <v>-0.01</v>
      </c>
      <c r="AJ30" s="10" t="n">
        <v>-30.91</v>
      </c>
      <c r="AK30" s="10" t="n">
        <v>86.9</v>
      </c>
      <c r="AL30" s="10" t="n">
        <v>10.8</v>
      </c>
      <c r="AM30" s="10" t="n">
        <v>21.99</v>
      </c>
      <c r="AN30" s="10" t="n">
        <v>19.38</v>
      </c>
      <c r="AO30" s="10" t="n">
        <v>15.62</v>
      </c>
      <c r="AP30" s="10" t="n">
        <v>0.19</v>
      </c>
      <c r="AQ30" s="10" t="n">
        <v>3.32</v>
      </c>
      <c r="AR30" s="10" t="n">
        <v>300</v>
      </c>
      <c r="AS30" s="16" t="n">
        <v>46275</v>
      </c>
      <c r="AT30" s="15" t="n">
        <v>43938000896</v>
      </c>
      <c r="AU30" s="15" t="n">
        <v>33955999744</v>
      </c>
      <c r="AV30" s="10" t="n">
        <v>77.28</v>
      </c>
      <c r="AW30" s="15" t="n">
        <v>9662000128</v>
      </c>
      <c r="AX30" s="15" t="n">
        <v>17731874816</v>
      </c>
      <c r="AY30" s="10" t="n">
        <v>40.36</v>
      </c>
      <c r="AZ30" s="15" t="n">
        <v>-30972999680</v>
      </c>
      <c r="BA30" s="10" t="n">
        <v>67.33</v>
      </c>
      <c r="BB30" s="10" t="n">
        <v>80.23</v>
      </c>
      <c r="BC30" s="17" t="n">
        <f aca="false">IF(AND(ISNUMBER(O30),ISNUMBER(AS30)),O30-AS30,"")</f>
        <v>76</v>
      </c>
      <c r="BD30" s="10" t="n">
        <f aca="false">IF(OR(ISNUMBER(SEARCH("ETF",H30)),AND(F30="",AO30="")),1,0)</f>
        <v>0</v>
      </c>
      <c r="BE30" s="17" t="n">
        <f aca="false">IF(ISNUMBER(L30),IF(L30&gt;=Parameters!$B$3,2,IF(L30&gt;=Parameters!$B$4,1,0)),0)+IF(ISNUMBER(AW30),IF(AW30&gt;0,IF(AND(ISNUMBER(AM30),AM30&gt;=Parameters!$B$5),2,1),0),0)+IF(ISNUMBER(AX30),IF(AND(AX30&gt;0,ISNUMBER(AY30),AY30&gt;=Parameters!$B$6),1,0),0)+IF(ISNUMBER(AO30),IF(AND(AO30&gt;0,AO30&lt;=Parameters!$B$7),1,0),0)+IF(ISNUMBER(F30),IF(F30&gt;=Parameters!$B$8,1,0),0)</f>
        <v>7</v>
      </c>
      <c r="BF30" s="10" t="str">
        <f aca="false">IF(BD30=1,"ETF",IF(OR(AND(ISNUMBER(L30),L30&gt;=Parameters!$B$10),BE30&gt;=Parameters!$B$9),"Established","Early"))</f>
        <v>Established</v>
      </c>
      <c r="BG30" s="10" t="n">
        <f aca="false">IF(LEFT(AH30,6)="Golden",2,IF(LEFT(AH30,5)="Death",-2,0))</f>
        <v>-2</v>
      </c>
      <c r="BH30" s="10" t="n">
        <f aca="false">IF(ISNUMBER(AG30),IF(AG30&gt;Parameters!$B$12,2,IF(AG30&gt;0,1,IF(AG30&gt;=Parameters!$B$13,-1,-2))),0)</f>
        <v>2</v>
      </c>
      <c r="BI30" s="10" t="n">
        <f aca="false">IF(ISNUMBER(AF30),IF(AND(AF30&gt;=Parameters!$B$14,AF30&lt;=Parameters!$B$15),1,IF(OR(AF30&gt;Parameters!$B$16,AF30&lt;Parameters!$B$17),-1,0)),0)</f>
        <v>-1</v>
      </c>
      <c r="BJ30" s="10" t="n">
        <f aca="false">IF(ISNUMBER(AE30),IF(AND(AE30&gt;=Parameters!$B$18,AE30&lt;=Parameters!$B$19),1,IF(OR(AE30&gt;Parameters!$B$20,AE30&lt;Parameters!$B$21),-1,0)),0)</f>
        <v>1</v>
      </c>
      <c r="BK30" s="10" t="n">
        <f aca="false">IF(ISNUMBER(E30),IF(E30&gt;Parameters!$B$22,1,IF(E30&lt;Parameters!$B$23,-1,0)),0)</f>
        <v>1</v>
      </c>
      <c r="BL30" s="10" t="n">
        <f aca="false">IF(ISNUMBER(C30),IF(C30&gt;=Parameters!$B$24,1,IF(C30&lt;=Parameters!$B$25,-1,0)),0)</f>
        <v>0</v>
      </c>
      <c r="BM30" s="10" t="n">
        <f aca="false">IF(ISNUMBER(AJ30),IF(AND(AJ30&gt;Parameters!$B$26,ISNUMBER(U30)),IF(U30&lt;0,-1,1),0),0)</f>
        <v>0</v>
      </c>
      <c r="BN30" s="10" t="n">
        <f aca="false">IF(ISNUMBER(AD30),IF(AD30&gt;Parameters!$B$27,1,IF(AD30&lt;Parameters!$B$28,-1,0)),0)</f>
        <v>1</v>
      </c>
      <c r="BO30" s="17" t="n">
        <f aca="false">BG30+BH30+BI30+BJ30+BK30+BL30+BM30+BN30</f>
        <v>2</v>
      </c>
      <c r="BP30" s="10" t="n">
        <f aca="false">IF(ISNUMBER(F30),IF(F30&gt;=Parameters!$B$30,2,IF(F30&gt;=Parameters!$B$31,1,IF(F30&lt;=Parameters!$B$32,-1,0))),0)</f>
        <v>2</v>
      </c>
      <c r="BQ30" s="10" t="n">
        <f aca="false">IF(ISNUMBER(AK30),IF(AK30&gt;Parameters!$B$33,1,IF(AK30&lt;0,-1,0)),0)</f>
        <v>1</v>
      </c>
      <c r="BR30" s="10" t="n">
        <f aca="false">IF(ISNUMBER(AL30),IF(AL30&gt;Parameters!$B$34,1,IF(AL30&lt;0,-1,0)),0)</f>
        <v>1</v>
      </c>
      <c r="BS30" s="10" t="n">
        <f aca="false">IF(ISNUMBER(AP30),IF(AND(AP30&gt;0,AP30&lt;=Parameters!$B$35),1,IF(AP30&gt;Parameters!$B$36,-1,0)),0)</f>
        <v>1</v>
      </c>
      <c r="BT30" s="10" t="n">
        <f aca="false">IF(ISNUMBER(AY30),IF(AY30&gt;Parameters!$B$37,1,IF(AY30&lt;0,-1,0)),0)</f>
        <v>1</v>
      </c>
      <c r="BU30" s="10" t="n">
        <f aca="false">IF(ISNUMBER(AZ30),IF(AZ30&gt;0,1,0),0)</f>
        <v>0</v>
      </c>
      <c r="BV30" s="10" t="n">
        <f aca="false">IF(ISNUMBER(AL30),IF(AL30&gt;Parameters!$B$39,2,IF(AL30&gt;Parameters!$B$40,1,IF(AL30&lt;0,-2,IF(AL30&lt;Parameters!$B$41,-1,0)))),0)</f>
        <v>0</v>
      </c>
      <c r="BW30" s="10" t="n">
        <f aca="false">IF(ISNUMBER(AV30),IF(AV30&gt;Parameters!$B$42,1,IF(AV30&lt;Parameters!$B$43,-1,0)),0)</f>
        <v>1</v>
      </c>
      <c r="BX30" s="10" t="n">
        <f aca="false">IF(AND(ISNUMBER(AX30),AX30&gt;0),1,IF(AND(ISNUMBER(AY30),AY30&lt;Parameters!$B$44),-1,0))</f>
        <v>1</v>
      </c>
      <c r="BY30" s="10" t="n">
        <f aca="false">IF(ISNUMBER(AW30),IF(AW30&gt;0,1,0),0)</f>
        <v>1</v>
      </c>
      <c r="BZ30" s="10" t="n">
        <f aca="false">IF(ISNUMBER(AQ30),IF(AQ30&gt;Parameters!$B$46,-2,IF(AQ30&gt;Parameters!$B$45,-1,0)),0)</f>
        <v>0</v>
      </c>
      <c r="CA30" s="10" t="n">
        <f aca="false">IF(ISNUMBER(F30),IF(F30&gt;=Parameters!$B$47,1,IF(F30&lt;=Parameters!$B$48,-1,0)),0)</f>
        <v>1</v>
      </c>
      <c r="CB30" s="17" t="n">
        <f aca="false">IF(BF30="Established",BP30+BQ30+BR30+BS30+BT30+BU30,IF(BF30="Early",BV30+BW30+BX30+BY30+BZ30+CA30,0))</f>
        <v>6</v>
      </c>
      <c r="CC30" s="18" t="n">
        <f aca="false">IF(BF30="Established",BO30+CB30,IF(BF30="Early",BO30+Parameters!$B$50*CB30,BO30))</f>
        <v>8</v>
      </c>
      <c r="CD30" s="17" t="n">
        <f aca="false">IF(BF30="Established",IF(CC30&gt;=Parameters!$B$51,6,IF(CC30&gt;=Parameters!$B$52,5,IF(CC30&gt;=Parameters!$B$53,4,IF(CC30&gt;=Parameters!$B$54,3,IF(CC30&gt;=Parameters!$B$55,2,1))))),IF(BF30="Early",IF(CC30&gt;=Parameters!$B$56,5,IF(CC30&gt;=Parameters!$B$57,4,IF(CC30&gt;=Parameters!$B$58,3,IF(CC30&gt;=Parameters!$B$59,2,1)))),IF(CC30&gt;=Parameters!$B$60,6,IF(CC30&gt;=Parameters!$B$61,5,IF(CC30&gt;=Parameters!$B$62,4,IF(CC30&gt;=Parameters!$B$63,3,IF(CC30&gt;=Parameters!$B$64,2,1)))))))</f>
        <v>4</v>
      </c>
      <c r="CE30" s="10" t="n">
        <f aca="false">IF(AND(ISNUMBER(AR30),AR30&lt;Parameters!$B$66),1,0)</f>
        <v>0</v>
      </c>
      <c r="CF30" s="10" t="n">
        <f aca="false">IF(AND(LEFT(AH30,5)="Death",ISNUMBER(AG30)),IF(BF30="Early",IF(AND(AG30&lt;Parameters!$B$70,ISNUMBER(U30),U30&lt;Parameters!$B$71),1,0),IF(AND(AG30&lt;Parameters!$B$67,OR(AND(ISNUMBER(U30),U30&lt;Parameters!$B$68),AND(ISNUMBER(V30),V30&lt;Parameters!$B$69))),1,0)),0)</f>
        <v>0</v>
      </c>
      <c r="CG30" s="10" t="n">
        <f aca="false">IF(AND(ISNUMBER(AG30),AG30&lt;0),1,0)</f>
        <v>0</v>
      </c>
      <c r="CH30" s="10" t="n">
        <f aca="false">IF(OR(AND(ISNUMBER(U30),U30&gt;Parameters!$B$74),AND(ISNUMBER(AF30),AF30&gt;Parameters!$B$75),AND(ISNUMBER(AE30),AE30&gt;Parameters!$B$76)),1,0)</f>
        <v>1</v>
      </c>
      <c r="CI30" s="10" t="n">
        <f aca="false">IF(AND(ISNUMBER(BC30),BC30&gt;=0,BC30&lt;=Parameters!$B$77),1,0)</f>
        <v>0</v>
      </c>
      <c r="CJ30" s="17" t="n">
        <f aca="false">IF(CF30=1,1,MIN(CD30,IF(CE30=1,3,6),IF(CG30=1,IF(BF30="Early",Parameters!$B$73,Parameters!$B$72),6),IF(CH30=1,3,6),IF(CI30=1,3,6)))</f>
        <v>3</v>
      </c>
      <c r="CK30" s="10" t="str">
        <f aca="false">INDEX(Parameters!$F$2:$F$7,CJ30)</f>
        <v>Hold</v>
      </c>
      <c r="CL30" s="10" t="str">
        <f aca="false">IF(CF30=1,"Hard sell: breakdown; ","")&amp;IF(CE30=1,"Insufficient history; ","")&amp;IF(AND(CF30=0,CG30=1),"Below 200D; ","")&amp;IF(CH30=1,"Extended - wait for pullback; ","")&amp;IF(CI30=1,"Earnings within "&amp;Parameters!$B$77&amp;"d; ","")</f>
        <v>Extended - wait for pullback; </v>
      </c>
    </row>
    <row r="31" customFormat="false" ht="15" hidden="false" customHeight="false" outlineLevel="0" collapsed="false">
      <c r="A31" s="10" t="s">
        <v>378</v>
      </c>
      <c r="B31" s="10" t="n">
        <v>6</v>
      </c>
      <c r="C31" s="10" t="n">
        <v>6</v>
      </c>
      <c r="D31" s="10" t="n">
        <v>66</v>
      </c>
      <c r="E31" s="10" t="n">
        <v>-10</v>
      </c>
      <c r="F31" s="10" t="n">
        <v>7</v>
      </c>
      <c r="G31" s="10" t="s">
        <v>379</v>
      </c>
      <c r="H31" s="10" t="s">
        <v>314</v>
      </c>
      <c r="I31" s="10" t="n">
        <v>226.82</v>
      </c>
      <c r="J31" s="10" t="s">
        <v>295</v>
      </c>
      <c r="K31" s="10" t="s">
        <v>296</v>
      </c>
      <c r="L31" s="15" t="n">
        <v>80888830656</v>
      </c>
      <c r="M31" s="16" t="n">
        <v>46233</v>
      </c>
      <c r="N31" s="10" t="n">
        <v>4.38</v>
      </c>
      <c r="O31" s="16" t="n">
        <v>46324</v>
      </c>
      <c r="P31" s="10" t="s">
        <v>297</v>
      </c>
      <c r="Q31" s="10" t="n">
        <v>0.69</v>
      </c>
      <c r="R31" s="10" t="n">
        <v>7.15</v>
      </c>
      <c r="S31" s="10" t="n">
        <v>8.41</v>
      </c>
      <c r="T31" s="10" t="n">
        <v>-0.37</v>
      </c>
      <c r="U31" s="10" t="n">
        <v>-8.09</v>
      </c>
      <c r="V31" s="10" t="n">
        <v>-0.36</v>
      </c>
      <c r="W31" s="10" t="n">
        <v>77.91</v>
      </c>
      <c r="X31" s="10" t="n">
        <v>61.48</v>
      </c>
      <c r="Y31" s="10"/>
      <c r="Z31" s="10"/>
      <c r="AA31" s="10"/>
      <c r="AB31" s="10"/>
      <c r="AC31" s="10" t="n">
        <v>-5</v>
      </c>
      <c r="AD31" s="10" t="n">
        <v>-22.51</v>
      </c>
      <c r="AE31" s="10" t="n">
        <v>46.85</v>
      </c>
      <c r="AF31" s="10" t="n">
        <v>-8.36</v>
      </c>
      <c r="AG31" s="10" t="n">
        <v>28.06</v>
      </c>
      <c r="AH31" s="10" t="s">
        <v>380</v>
      </c>
      <c r="AI31" s="10" t="n">
        <v>-0.38</v>
      </c>
      <c r="AJ31" s="10" t="n">
        <v>-4.67</v>
      </c>
      <c r="AK31" s="10" t="n">
        <v>1583.3</v>
      </c>
      <c r="AL31" s="10" t="n">
        <v>35.6</v>
      </c>
      <c r="AM31" s="10" t="n">
        <v>4.48</v>
      </c>
      <c r="AN31" s="10" t="n">
        <v>4.7</v>
      </c>
      <c r="AO31" s="10" t="n">
        <v>70.1</v>
      </c>
      <c r="AP31" s="10" t="n">
        <v>0.35</v>
      </c>
      <c r="AQ31" s="10" t="n">
        <v>2.78</v>
      </c>
      <c r="AR31" s="10" t="n">
        <v>300</v>
      </c>
      <c r="AS31" s="16" t="n">
        <v>46275</v>
      </c>
      <c r="AT31" s="15" t="n">
        <v>3966725120</v>
      </c>
      <c r="AU31" s="15" t="n">
        <v>3154957056</v>
      </c>
      <c r="AV31" s="10" t="n">
        <v>79.54</v>
      </c>
      <c r="AW31" s="15" t="n">
        <v>177584000</v>
      </c>
      <c r="AX31" s="15" t="n">
        <v>1051412352</v>
      </c>
      <c r="AY31" s="10" t="n">
        <v>26.51</v>
      </c>
      <c r="AZ31" s="15" t="n">
        <v>3707637248</v>
      </c>
      <c r="BA31" s="10" t="n">
        <v>131.43</v>
      </c>
      <c r="BB31" s="10" t="n">
        <v>66.15</v>
      </c>
      <c r="BC31" s="17" t="n">
        <f aca="false">IF(AND(ISNUMBER(O31),ISNUMBER(AS31)),O31-AS31,"")</f>
        <v>49</v>
      </c>
      <c r="BD31" s="10" t="n">
        <f aca="false">IF(OR(ISNUMBER(SEARCH("ETF",H31)),AND(F31="",AO31="")),1,0)</f>
        <v>0</v>
      </c>
      <c r="BE31" s="17" t="n">
        <f aca="false">IF(ISNUMBER(L31),IF(L31&gt;=Parameters!$B$3,2,IF(L31&gt;=Parameters!$B$4,1,0)),0)+IF(ISNUMBER(AW31),IF(AW31&gt;0,IF(AND(ISNUMBER(AM31),AM31&gt;=Parameters!$B$5),2,1),0),0)+IF(ISNUMBER(AX31),IF(AND(AX31&gt;0,ISNUMBER(AY31),AY31&gt;=Parameters!$B$6),1,0),0)+IF(ISNUMBER(AO31),IF(AND(AO31&gt;0,AO31&lt;=Parameters!$B$7),1,0),0)+IF(ISNUMBER(F31),IF(F31&gt;=Parameters!$B$8,1,0),0)</f>
        <v>4</v>
      </c>
      <c r="BF31" s="10" t="str">
        <f aca="false">IF(BD31=1,"ETF",IF(OR(AND(ISNUMBER(L31),L31&gt;=Parameters!$B$10),BE31&gt;=Parameters!$B$9),"Established","Early"))</f>
        <v>Early</v>
      </c>
      <c r="BG31" s="10" t="n">
        <f aca="false">IF(LEFT(AH31,6)="Golden",2,IF(LEFT(AH31,5)="Death",-2,0))</f>
        <v>2</v>
      </c>
      <c r="BH31" s="10" t="n">
        <f aca="false">IF(ISNUMBER(AG31),IF(AG31&gt;Parameters!$B$12,2,IF(AG31&gt;0,1,IF(AG31&gt;=Parameters!$B$13,-1,-2))),0)</f>
        <v>2</v>
      </c>
      <c r="BI31" s="10" t="n">
        <f aca="false">IF(ISNUMBER(AF31),IF(AND(AF31&gt;=Parameters!$B$14,AF31&lt;=Parameters!$B$15),1,IF(OR(AF31&gt;Parameters!$B$16,AF31&lt;Parameters!$B$17),-1,0)),0)</f>
        <v>-1</v>
      </c>
      <c r="BJ31" s="10" t="n">
        <f aca="false">IF(ISNUMBER(AE31),IF(AND(AE31&gt;=Parameters!$B$18,AE31&lt;=Parameters!$B$19),1,IF(OR(AE31&gt;Parameters!$B$20,AE31&lt;Parameters!$B$21),-1,0)),0)</f>
        <v>1</v>
      </c>
      <c r="BK31" s="10" t="n">
        <f aca="false">IF(ISNUMBER(E31),IF(E31&gt;Parameters!$B$22,1,IF(E31&lt;Parameters!$B$23,-1,0)),0)</f>
        <v>-1</v>
      </c>
      <c r="BL31" s="10" t="n">
        <f aca="false">IF(ISNUMBER(C31),IF(C31&gt;=Parameters!$B$24,1,IF(C31&lt;=Parameters!$B$25,-1,0)),0)</f>
        <v>0</v>
      </c>
      <c r="BM31" s="10" t="n">
        <f aca="false">IF(ISNUMBER(AJ31),IF(AND(AJ31&gt;Parameters!$B$26,ISNUMBER(U31)),IF(U31&lt;0,-1,1),0),0)</f>
        <v>0</v>
      </c>
      <c r="BN31" s="10" t="n">
        <f aca="false">IF(ISNUMBER(AD31),IF(AD31&gt;Parameters!$B$27,1,IF(AD31&lt;Parameters!$B$28,-1,0)),0)</f>
        <v>0</v>
      </c>
      <c r="BO31" s="17" t="n">
        <f aca="false">BG31+BH31+BI31+BJ31+BK31+BL31+BM31+BN31</f>
        <v>3</v>
      </c>
      <c r="BP31" s="10" t="n">
        <f aca="false">IF(ISNUMBER(F31),IF(F31&gt;=Parameters!$B$30,2,IF(F31&gt;=Parameters!$B$31,1,IF(F31&lt;=Parameters!$B$32,-1,0))),0)</f>
        <v>1</v>
      </c>
      <c r="BQ31" s="10" t="n">
        <f aca="false">IF(ISNUMBER(AK31),IF(AK31&gt;Parameters!$B$33,1,IF(AK31&lt;0,-1,0)),0)</f>
        <v>1</v>
      </c>
      <c r="BR31" s="10" t="n">
        <f aca="false">IF(ISNUMBER(AL31),IF(AL31&gt;Parameters!$B$34,1,IF(AL31&lt;0,-1,0)),0)</f>
        <v>1</v>
      </c>
      <c r="BS31" s="10" t="n">
        <f aca="false">IF(ISNUMBER(AP31),IF(AND(AP31&gt;0,AP31&lt;=Parameters!$B$35),1,IF(AP31&gt;Parameters!$B$36,-1,0)),0)</f>
        <v>1</v>
      </c>
      <c r="BT31" s="10" t="n">
        <f aca="false">IF(ISNUMBER(AY31),IF(AY31&gt;Parameters!$B$37,1,IF(AY31&lt;0,-1,0)),0)</f>
        <v>1</v>
      </c>
      <c r="BU31" s="10" t="n">
        <f aca="false">IF(ISNUMBER(AZ31),IF(AZ31&gt;0,1,0),0)</f>
        <v>1</v>
      </c>
      <c r="BV31" s="10" t="n">
        <f aca="false">IF(ISNUMBER(AL31),IF(AL31&gt;Parameters!$B$39,2,IF(AL31&gt;Parameters!$B$40,1,IF(AL31&lt;0,-2,IF(AL31&lt;Parameters!$B$41,-1,0)))),0)</f>
        <v>2</v>
      </c>
      <c r="BW31" s="10" t="n">
        <f aca="false">IF(ISNUMBER(AV31),IF(AV31&gt;Parameters!$B$42,1,IF(AV31&lt;Parameters!$B$43,-1,0)),0)</f>
        <v>1</v>
      </c>
      <c r="BX31" s="10" t="n">
        <f aca="false">IF(AND(ISNUMBER(AX31),AX31&gt;0),1,IF(AND(ISNUMBER(AY31),AY31&lt;Parameters!$B$44),-1,0))</f>
        <v>1</v>
      </c>
      <c r="BY31" s="10" t="n">
        <f aca="false">IF(ISNUMBER(AW31),IF(AW31&gt;0,1,0),0)</f>
        <v>1</v>
      </c>
      <c r="BZ31" s="10" t="n">
        <f aca="false">IF(ISNUMBER(AQ31),IF(AQ31&gt;Parameters!$B$46,-2,IF(AQ31&gt;Parameters!$B$45,-1,0)),0)</f>
        <v>0</v>
      </c>
      <c r="CA31" s="10" t="n">
        <f aca="false">IF(ISNUMBER(F31),IF(F31&gt;=Parameters!$B$47,1,IF(F31&lt;=Parameters!$B$48,-1,0)),0)</f>
        <v>1</v>
      </c>
      <c r="CB31" s="17" t="n">
        <f aca="false">IF(BF31="Established",BP31+BQ31+BR31+BS31+BT31+BU31,IF(BF31="Early",BV31+BW31+BX31+BY31+BZ31+CA31,0))</f>
        <v>6</v>
      </c>
      <c r="CC31" s="18" t="n">
        <f aca="false">IF(BF31="Established",BO31+CB31,IF(BF31="Early",BO31+Parameters!$B$50*CB31,BO31))</f>
        <v>6</v>
      </c>
      <c r="CD31" s="17" t="n">
        <f aca="false">IF(BF31="Established",IF(CC31&gt;=Parameters!$B$51,6,IF(CC31&gt;=Parameters!$B$52,5,IF(CC31&gt;=Parameters!$B$53,4,IF(CC31&gt;=Parameters!$B$54,3,IF(CC31&gt;=Parameters!$B$55,2,1))))),IF(BF31="Early",IF(CC31&gt;=Parameters!$B$56,5,IF(CC31&gt;=Parameters!$B$57,4,IF(CC31&gt;=Parameters!$B$58,3,IF(CC31&gt;=Parameters!$B$59,2,1)))),IF(CC31&gt;=Parameters!$B$60,6,IF(CC31&gt;=Parameters!$B$61,5,IF(CC31&gt;=Parameters!$B$62,4,IF(CC31&gt;=Parameters!$B$63,3,IF(CC31&gt;=Parameters!$B$64,2,1)))))))</f>
        <v>4</v>
      </c>
      <c r="CE31" s="10" t="n">
        <f aca="false">IF(AND(ISNUMBER(AR31),AR31&lt;Parameters!$B$66),1,0)</f>
        <v>0</v>
      </c>
      <c r="CF31" s="10" t="n">
        <f aca="false">IF(AND(LEFT(AH31,5)="Death",ISNUMBER(AG31)),IF(BF31="Early",IF(AND(AG31&lt;Parameters!$B$70,ISNUMBER(U31),U31&lt;Parameters!$B$71),1,0),IF(AND(AG31&lt;Parameters!$B$67,OR(AND(ISNUMBER(U31),U31&lt;Parameters!$B$68),AND(ISNUMBER(V31),V31&lt;Parameters!$B$69))),1,0)),0)</f>
        <v>0</v>
      </c>
      <c r="CG31" s="10" t="n">
        <f aca="false">IF(AND(ISNUMBER(AG31),AG31&lt;0),1,0)</f>
        <v>0</v>
      </c>
      <c r="CH31" s="10" t="n">
        <f aca="false">IF(OR(AND(ISNUMBER(U31),U31&gt;Parameters!$B$74),AND(ISNUMBER(AF31),AF31&gt;Parameters!$B$75),AND(ISNUMBER(AE31),AE31&gt;Parameters!$B$76)),1,0)</f>
        <v>0</v>
      </c>
      <c r="CI31" s="10" t="n">
        <f aca="false">IF(AND(ISNUMBER(BC31),BC31&gt;=0,BC31&lt;=Parameters!$B$77),1,0)</f>
        <v>0</v>
      </c>
      <c r="CJ31" s="17" t="n">
        <f aca="false">IF(CF31=1,1,MIN(CD31,IF(CE31=1,3,6),IF(CG31=1,IF(BF31="Early",Parameters!$B$73,Parameters!$B$72),6),IF(CH31=1,3,6),IF(CI31=1,3,6)))</f>
        <v>4</v>
      </c>
      <c r="CK31" s="10" t="str">
        <f aca="false">INDEX(Parameters!$F$2:$F$7,CJ31)</f>
        <v>Buy with Risk</v>
      </c>
      <c r="CL31" s="10" t="str">
        <f aca="false">IF(CF31=1,"Hard sell: breakdown; ","")&amp;IF(CE31=1,"Insufficient history; ","")&amp;IF(AND(CF31=0,CG31=1),"Below 200D; ","")&amp;IF(CH31=1,"Extended - wait for pullback; ","")&amp;IF(CI31=1,"Earnings within "&amp;Parameters!$B$77&amp;"d; ","")</f>
        <v/>
      </c>
    </row>
    <row r="32" customFormat="false" ht="15" hidden="false" customHeight="false" outlineLevel="0" collapsed="false">
      <c r="A32" s="10" t="s">
        <v>381</v>
      </c>
      <c r="B32" s="10" t="n">
        <v>6</v>
      </c>
      <c r="C32" s="10" t="n">
        <v>5</v>
      </c>
      <c r="D32" s="10" t="n">
        <v>45.7</v>
      </c>
      <c r="E32" s="10" t="n">
        <v>-6.2</v>
      </c>
      <c r="F32" s="10" t="n">
        <v>10</v>
      </c>
      <c r="G32" s="10" t="s">
        <v>382</v>
      </c>
      <c r="H32" s="10" t="s">
        <v>304</v>
      </c>
      <c r="I32" s="10" t="n">
        <v>68.07</v>
      </c>
      <c r="J32" s="10" t="s">
        <v>295</v>
      </c>
      <c r="K32" s="10" t="s">
        <v>305</v>
      </c>
      <c r="L32" s="15" t="n">
        <v>22995258596</v>
      </c>
      <c r="M32" s="16" t="n">
        <v>46261</v>
      </c>
      <c r="N32" s="10" t="n">
        <v>484.71</v>
      </c>
      <c r="O32" s="16" t="n">
        <v>46352</v>
      </c>
      <c r="P32" s="10" t="s">
        <v>297</v>
      </c>
      <c r="Q32" s="10" t="n">
        <v>-0.12</v>
      </c>
      <c r="R32" s="10" t="n">
        <v>-5.45</v>
      </c>
      <c r="S32" s="10" t="n">
        <v>-8.13</v>
      </c>
      <c r="T32" s="10" t="n">
        <v>-10.97</v>
      </c>
      <c r="U32" s="10" t="n">
        <v>-11.26</v>
      </c>
      <c r="V32" s="10" t="n">
        <v>8.37</v>
      </c>
      <c r="W32" s="10" t="n">
        <v>34.02</v>
      </c>
      <c r="X32" s="10" t="n">
        <v>-23.02</v>
      </c>
      <c r="Y32" s="10"/>
      <c r="Z32" s="10"/>
      <c r="AA32" s="10"/>
      <c r="AB32" s="10"/>
      <c r="AC32" s="10" t="n">
        <v>3.73</v>
      </c>
      <c r="AD32" s="10" t="n">
        <v>-26.46</v>
      </c>
      <c r="AE32" s="10" t="n">
        <v>37.91</v>
      </c>
      <c r="AF32" s="10" t="n">
        <v>-10.9</v>
      </c>
      <c r="AG32" s="10" t="n">
        <v>2.23</v>
      </c>
      <c r="AH32" s="10" t="s">
        <v>383</v>
      </c>
      <c r="AI32" s="10" t="n">
        <v>-0.84</v>
      </c>
      <c r="AJ32" s="10" t="n">
        <v>-37.35</v>
      </c>
      <c r="AK32" s="10" t="n">
        <v>2234.7</v>
      </c>
      <c r="AL32" s="10" t="n">
        <v>33</v>
      </c>
      <c r="AM32" s="10" t="n">
        <v>45.29</v>
      </c>
      <c r="AN32" s="10" t="n">
        <v>45.13</v>
      </c>
      <c r="AO32" s="10" t="n">
        <v>14.55</v>
      </c>
      <c r="AP32" s="10" t="n">
        <v>0.01</v>
      </c>
      <c r="AQ32" s="10" t="n">
        <v>5.1</v>
      </c>
      <c r="AR32" s="10" t="n">
        <v>300</v>
      </c>
      <c r="AS32" s="16" t="n">
        <v>46275</v>
      </c>
      <c r="AT32" s="15" t="n">
        <v>4261082112</v>
      </c>
      <c r="AU32" s="15" t="n">
        <v>2084964992</v>
      </c>
      <c r="AV32" s="10" t="n">
        <v>48.93</v>
      </c>
      <c r="AW32" s="15" t="n">
        <v>1929793024</v>
      </c>
      <c r="AX32" s="15" t="n">
        <v>478676736</v>
      </c>
      <c r="AY32" s="10" t="n">
        <v>11.23</v>
      </c>
      <c r="AZ32" s="15" t="n">
        <v>-8320907392</v>
      </c>
      <c r="BA32" s="10" t="n">
        <v>61.71</v>
      </c>
      <c r="BB32" s="10" t="n">
        <v>51.47</v>
      </c>
      <c r="BC32" s="17" t="n">
        <f aca="false">IF(AND(ISNUMBER(O32),ISNUMBER(AS32)),O32-AS32,"")</f>
        <v>77</v>
      </c>
      <c r="BD32" s="10" t="n">
        <f aca="false">IF(OR(ISNUMBER(SEARCH("ETF",H32)),AND(F32="",AO32="")),1,0)</f>
        <v>0</v>
      </c>
      <c r="BE32" s="17" t="n">
        <f aca="false">IF(ISNUMBER(L32),IF(L32&gt;=Parameters!$B$3,2,IF(L32&gt;=Parameters!$B$4,1,0)),0)+IF(ISNUMBER(AW32),IF(AW32&gt;0,IF(AND(ISNUMBER(AM32),AM32&gt;=Parameters!$B$5),2,1),0),0)+IF(ISNUMBER(AX32),IF(AND(AX32&gt;0,ISNUMBER(AY32),AY32&gt;=Parameters!$B$6),1,0),0)+IF(ISNUMBER(AO32),IF(AND(AO32&gt;0,AO32&lt;=Parameters!$B$7),1,0),0)+IF(ISNUMBER(F32),IF(F32&gt;=Parameters!$B$8,1,0),0)</f>
        <v>6</v>
      </c>
      <c r="BF32" s="10" t="str">
        <f aca="false">IF(BD32=1,"ETF",IF(OR(AND(ISNUMBER(L32),L32&gt;=Parameters!$B$10),BE32&gt;=Parameters!$B$9),"Established","Early"))</f>
        <v>Established</v>
      </c>
      <c r="BG32" s="10" t="n">
        <f aca="false">IF(LEFT(AH32,6)="Golden",2,IF(LEFT(AH32,5)="Death",-2,0))</f>
        <v>2</v>
      </c>
      <c r="BH32" s="10" t="n">
        <f aca="false">IF(ISNUMBER(AG32),IF(AG32&gt;Parameters!$B$12,2,IF(AG32&gt;0,1,IF(AG32&gt;=Parameters!$B$13,-1,-2))),0)</f>
        <v>1</v>
      </c>
      <c r="BI32" s="10" t="n">
        <f aca="false">IF(ISNUMBER(AF32),IF(AND(AF32&gt;=Parameters!$B$14,AF32&lt;=Parameters!$B$15),1,IF(OR(AF32&gt;Parameters!$B$16,AF32&lt;Parameters!$B$17),-1,0)),0)</f>
        <v>-1</v>
      </c>
      <c r="BJ32" s="10" t="n">
        <f aca="false">IF(ISNUMBER(AE32),IF(AND(AE32&gt;=Parameters!$B$18,AE32&lt;=Parameters!$B$19),1,IF(OR(AE32&gt;Parameters!$B$20,AE32&lt;Parameters!$B$21),-1,0)),0)</f>
        <v>0</v>
      </c>
      <c r="BK32" s="10" t="n">
        <f aca="false">IF(ISNUMBER(E32),IF(E32&gt;Parameters!$B$22,1,IF(E32&lt;Parameters!$B$23,-1,0)),0)</f>
        <v>-1</v>
      </c>
      <c r="BL32" s="10" t="n">
        <f aca="false">IF(ISNUMBER(C32),IF(C32&gt;=Parameters!$B$24,1,IF(C32&lt;=Parameters!$B$25,-1,0)),0)</f>
        <v>0</v>
      </c>
      <c r="BM32" s="10" t="n">
        <f aca="false">IF(ISNUMBER(AJ32),IF(AND(AJ32&gt;Parameters!$B$26,ISNUMBER(U32)),IF(U32&lt;0,-1,1),0),0)</f>
        <v>0</v>
      </c>
      <c r="BN32" s="10" t="n">
        <f aca="false">IF(ISNUMBER(AD32),IF(AD32&gt;Parameters!$B$27,1,IF(AD32&lt;Parameters!$B$28,-1,0)),0)</f>
        <v>0</v>
      </c>
      <c r="BO32" s="17" t="n">
        <f aca="false">BG32+BH32+BI32+BJ32+BK32+BL32+BM32+BN32</f>
        <v>1</v>
      </c>
      <c r="BP32" s="10" t="n">
        <f aca="false">IF(ISNUMBER(F32),IF(F32&gt;=Parameters!$B$30,2,IF(F32&gt;=Parameters!$B$31,1,IF(F32&lt;=Parameters!$B$32,-1,0))),0)</f>
        <v>2</v>
      </c>
      <c r="BQ32" s="10" t="n">
        <f aca="false">IF(ISNUMBER(AK32),IF(AK32&gt;Parameters!$B$33,1,IF(AK32&lt;0,-1,0)),0)</f>
        <v>1</v>
      </c>
      <c r="BR32" s="10" t="n">
        <f aca="false">IF(ISNUMBER(AL32),IF(AL32&gt;Parameters!$B$34,1,IF(AL32&lt;0,-1,0)),0)</f>
        <v>1</v>
      </c>
      <c r="BS32" s="10" t="n">
        <f aca="false">IF(ISNUMBER(AP32),IF(AND(AP32&gt;0,AP32&lt;=Parameters!$B$35),1,IF(AP32&gt;Parameters!$B$36,-1,0)),0)</f>
        <v>1</v>
      </c>
      <c r="BT32" s="10" t="n">
        <f aca="false">IF(ISNUMBER(AY32),IF(AY32&gt;Parameters!$B$37,1,IF(AY32&lt;0,-1,0)),0)</f>
        <v>1</v>
      </c>
      <c r="BU32" s="10" t="n">
        <f aca="false">IF(ISNUMBER(AZ32),IF(AZ32&gt;0,1,0),0)</f>
        <v>0</v>
      </c>
      <c r="BV32" s="10" t="n">
        <f aca="false">IF(ISNUMBER(AL32),IF(AL32&gt;Parameters!$B$39,2,IF(AL32&gt;Parameters!$B$40,1,IF(AL32&lt;0,-2,IF(AL32&lt;Parameters!$B$41,-1,0)))),0)</f>
        <v>2</v>
      </c>
      <c r="BW32" s="10" t="n">
        <f aca="false">IF(ISNUMBER(AV32),IF(AV32&gt;Parameters!$B$42,1,IF(AV32&lt;Parameters!$B$43,-1,0)),0)</f>
        <v>0</v>
      </c>
      <c r="BX32" s="10" t="n">
        <f aca="false">IF(AND(ISNUMBER(AX32),AX32&gt;0),1,IF(AND(ISNUMBER(AY32),AY32&lt;Parameters!$B$44),-1,0))</f>
        <v>1</v>
      </c>
      <c r="BY32" s="10" t="n">
        <f aca="false">IF(ISNUMBER(AW32),IF(AW32&gt;0,1,0),0)</f>
        <v>1</v>
      </c>
      <c r="BZ32" s="10" t="n">
        <f aca="false">IF(ISNUMBER(AQ32),IF(AQ32&gt;Parameters!$B$46,-2,IF(AQ32&gt;Parameters!$B$45,-1,0)),0)</f>
        <v>0</v>
      </c>
      <c r="CA32" s="10" t="n">
        <f aca="false">IF(ISNUMBER(F32),IF(F32&gt;=Parameters!$B$47,1,IF(F32&lt;=Parameters!$B$48,-1,0)),0)</f>
        <v>1</v>
      </c>
      <c r="CB32" s="17" t="n">
        <f aca="false">IF(BF32="Established",BP32+BQ32+BR32+BS32+BT32+BU32,IF(BF32="Early",BV32+BW32+BX32+BY32+BZ32+CA32,0))</f>
        <v>6</v>
      </c>
      <c r="CC32" s="18" t="n">
        <f aca="false">IF(BF32="Established",BO32+CB32,IF(BF32="Early",BO32+Parameters!$B$50*CB32,BO32))</f>
        <v>7</v>
      </c>
      <c r="CD32" s="17" t="n">
        <f aca="false">IF(BF32="Established",IF(CC32&gt;=Parameters!$B$51,6,IF(CC32&gt;=Parameters!$B$52,5,IF(CC32&gt;=Parameters!$B$53,4,IF(CC32&gt;=Parameters!$B$54,3,IF(CC32&gt;=Parameters!$B$55,2,1))))),IF(BF32="Early",IF(CC32&gt;=Parameters!$B$56,5,IF(CC32&gt;=Parameters!$B$57,4,IF(CC32&gt;=Parameters!$B$58,3,IF(CC32&gt;=Parameters!$B$59,2,1)))),IF(CC32&gt;=Parameters!$B$60,6,IF(CC32&gt;=Parameters!$B$61,5,IF(CC32&gt;=Parameters!$B$62,4,IF(CC32&gt;=Parameters!$B$63,3,IF(CC32&gt;=Parameters!$B$64,2,1)))))))</f>
        <v>4</v>
      </c>
      <c r="CE32" s="10" t="n">
        <f aca="false">IF(AND(ISNUMBER(AR32),AR32&lt;Parameters!$B$66),1,0)</f>
        <v>0</v>
      </c>
      <c r="CF32" s="10" t="n">
        <f aca="false">IF(AND(LEFT(AH32,5)="Death",ISNUMBER(AG32)),IF(BF32="Early",IF(AND(AG32&lt;Parameters!$B$70,ISNUMBER(U32),U32&lt;Parameters!$B$71),1,0),IF(AND(AG32&lt;Parameters!$B$67,OR(AND(ISNUMBER(U32),U32&lt;Parameters!$B$68),AND(ISNUMBER(V32),V32&lt;Parameters!$B$69))),1,0)),0)</f>
        <v>0</v>
      </c>
      <c r="CG32" s="10" t="n">
        <f aca="false">IF(AND(ISNUMBER(AG32),AG32&lt;0),1,0)</f>
        <v>0</v>
      </c>
      <c r="CH32" s="10" t="n">
        <f aca="false">IF(OR(AND(ISNUMBER(U32),U32&gt;Parameters!$B$74),AND(ISNUMBER(AF32),AF32&gt;Parameters!$B$75),AND(ISNUMBER(AE32),AE32&gt;Parameters!$B$76)),1,0)</f>
        <v>0</v>
      </c>
      <c r="CI32" s="10" t="n">
        <f aca="false">IF(AND(ISNUMBER(BC32),BC32&gt;=0,BC32&lt;=Parameters!$B$77),1,0)</f>
        <v>0</v>
      </c>
      <c r="CJ32" s="17" t="n">
        <f aca="false">IF(CF32=1,1,MIN(CD32,IF(CE32=1,3,6),IF(CG32=1,IF(BF32="Early",Parameters!$B$73,Parameters!$B$72),6),IF(CH32=1,3,6),IF(CI32=1,3,6)))</f>
        <v>4</v>
      </c>
      <c r="CK32" s="10" t="str">
        <f aca="false">INDEX(Parameters!$F$2:$F$7,CJ32)</f>
        <v>Buy with Risk</v>
      </c>
      <c r="CL32" s="10" t="str">
        <f aca="false">IF(CF32=1,"Hard sell: breakdown; ","")&amp;IF(CE32=1,"Insufficient history; ","")&amp;IF(AND(CF32=0,CG32=1),"Below 200D; ","")&amp;IF(CH32=1,"Extended - wait for pullback; ","")&amp;IF(CI32=1,"Earnings within "&amp;Parameters!$B$77&amp;"d; ","")</f>
        <v/>
      </c>
    </row>
    <row r="33" customFormat="false" ht="15" hidden="false" customHeight="false" outlineLevel="0" collapsed="false">
      <c r="A33" s="10" t="s">
        <v>384</v>
      </c>
      <c r="B33" s="10" t="n">
        <v>6</v>
      </c>
      <c r="C33" s="10" t="n">
        <v>5</v>
      </c>
      <c r="D33" s="10" t="n">
        <v>36</v>
      </c>
      <c r="E33" s="10" t="n">
        <v>10.7</v>
      </c>
      <c r="F33" s="10" t="n">
        <v>9</v>
      </c>
      <c r="G33" s="10" t="s">
        <v>385</v>
      </c>
      <c r="H33" s="10" t="s">
        <v>386</v>
      </c>
      <c r="I33" s="10" t="n">
        <v>95.68</v>
      </c>
      <c r="J33" s="10" t="s">
        <v>295</v>
      </c>
      <c r="K33" s="10" t="s">
        <v>296</v>
      </c>
      <c r="L33" s="15" t="n">
        <v>28063757323</v>
      </c>
      <c r="M33" s="16" t="n">
        <v>46259</v>
      </c>
      <c r="N33" s="10" t="n">
        <v>4.73</v>
      </c>
      <c r="O33" s="16" t="n">
        <v>46350</v>
      </c>
      <c r="P33" s="10" t="s">
        <v>297</v>
      </c>
      <c r="Q33" s="10" t="n">
        <v>-0.52</v>
      </c>
      <c r="R33" s="10" t="n">
        <v>-0.27</v>
      </c>
      <c r="S33" s="10" t="n">
        <v>-0.19</v>
      </c>
      <c r="T33" s="10" t="n">
        <v>1.97</v>
      </c>
      <c r="U33" s="10" t="n">
        <v>-9.79</v>
      </c>
      <c r="V33" s="10" t="n">
        <v>1.83</v>
      </c>
      <c r="W33" s="10" t="n">
        <v>25.81</v>
      </c>
      <c r="X33" s="10" t="n">
        <v>11.75</v>
      </c>
      <c r="Y33" s="10"/>
      <c r="Z33" s="10"/>
      <c r="AA33" s="10"/>
      <c r="AB33" s="10"/>
      <c r="AC33" s="10" t="n">
        <v>-2.81</v>
      </c>
      <c r="AD33" s="10" t="n">
        <v>-16.61</v>
      </c>
      <c r="AE33" s="10" t="n">
        <v>44.94</v>
      </c>
      <c r="AF33" s="10" t="n">
        <v>-0.8</v>
      </c>
      <c r="AG33" s="10" t="n">
        <v>5.53</v>
      </c>
      <c r="AH33" s="10" t="s">
        <v>367</v>
      </c>
      <c r="AI33" s="10" t="n">
        <v>-0.88</v>
      </c>
      <c r="AJ33" s="10" t="n">
        <v>-32.37</v>
      </c>
      <c r="AK33" s="10" t="n">
        <v>330.1</v>
      </c>
      <c r="AL33" s="10" t="n">
        <v>4.9</v>
      </c>
      <c r="AM33" s="10" t="n">
        <v>65.19</v>
      </c>
      <c r="AN33" s="10" t="n">
        <v>32.14</v>
      </c>
      <c r="AO33" s="10" t="n">
        <v>15.21</v>
      </c>
      <c r="AP33" s="10" t="n">
        <v>0.03</v>
      </c>
      <c r="AQ33" s="10" t="n">
        <v>2.8</v>
      </c>
      <c r="AR33" s="10" t="n">
        <v>300</v>
      </c>
      <c r="AS33" s="16" t="n">
        <v>46275</v>
      </c>
      <c r="AT33" s="15" t="n">
        <v>4993050112</v>
      </c>
      <c r="AU33" s="15" t="n">
        <v>3877772032</v>
      </c>
      <c r="AV33" s="10" t="n">
        <v>77.66</v>
      </c>
      <c r="AW33" s="15" t="n">
        <v>3255075072</v>
      </c>
      <c r="AX33" s="15" t="n">
        <v>1975528320</v>
      </c>
      <c r="AY33" s="10" t="n">
        <v>39.57</v>
      </c>
      <c r="AZ33" s="15" t="n">
        <v>7189448832</v>
      </c>
      <c r="BA33" s="10" t="n">
        <v>35.33</v>
      </c>
      <c r="BB33" s="10" t="n">
        <v>56.72</v>
      </c>
      <c r="BC33" s="17" t="n">
        <f aca="false">IF(AND(ISNUMBER(O33),ISNUMBER(AS33)),O33-AS33,"")</f>
        <v>75</v>
      </c>
      <c r="BD33" s="10" t="n">
        <f aca="false">IF(OR(ISNUMBER(SEARCH("ETF",H33)),AND(F33="",AO33="")),1,0)</f>
        <v>0</v>
      </c>
      <c r="BE33" s="17" t="n">
        <f aca="false">IF(ISNUMBER(L33),IF(L33&gt;=Parameters!$B$3,2,IF(L33&gt;=Parameters!$B$4,1,0)),0)+IF(ISNUMBER(AW33),IF(AW33&gt;0,IF(AND(ISNUMBER(AM33),AM33&gt;=Parameters!$B$5),2,1),0),0)+IF(ISNUMBER(AX33),IF(AND(AX33&gt;0,ISNUMBER(AY33),AY33&gt;=Parameters!$B$6),1,0),0)+IF(ISNUMBER(AO33),IF(AND(AO33&gt;0,AO33&lt;=Parameters!$B$7),1,0),0)+IF(ISNUMBER(F33),IF(F33&gt;=Parameters!$B$8,1,0),0)</f>
        <v>6</v>
      </c>
      <c r="BF33" s="10" t="str">
        <f aca="false">IF(BD33=1,"ETF",IF(OR(AND(ISNUMBER(L33),L33&gt;=Parameters!$B$10),BE33&gt;=Parameters!$B$9),"Established","Early"))</f>
        <v>Established</v>
      </c>
      <c r="BG33" s="10" t="n">
        <f aca="false">IF(LEFT(AH33,6)="Golden",2,IF(LEFT(AH33,5)="Death",-2,0))</f>
        <v>2</v>
      </c>
      <c r="BH33" s="10" t="n">
        <f aca="false">IF(ISNUMBER(AG33),IF(AG33&gt;Parameters!$B$12,2,IF(AG33&gt;0,1,IF(AG33&gt;=Parameters!$B$13,-1,-2))),0)</f>
        <v>1</v>
      </c>
      <c r="BI33" s="10" t="n">
        <f aca="false">IF(ISNUMBER(AF33),IF(AND(AF33&gt;=Parameters!$B$14,AF33&lt;=Parameters!$B$15),1,IF(OR(AF33&gt;Parameters!$B$16,AF33&lt;Parameters!$B$17),-1,0)),0)</f>
        <v>1</v>
      </c>
      <c r="BJ33" s="10" t="n">
        <f aca="false">IF(ISNUMBER(AE33),IF(AND(AE33&gt;=Parameters!$B$18,AE33&lt;=Parameters!$B$19),1,IF(OR(AE33&gt;Parameters!$B$20,AE33&lt;Parameters!$B$21),-1,0)),0)</f>
        <v>0</v>
      </c>
      <c r="BK33" s="10" t="n">
        <f aca="false">IF(ISNUMBER(E33),IF(E33&gt;Parameters!$B$22,1,IF(E33&lt;Parameters!$B$23,-1,0)),0)</f>
        <v>1</v>
      </c>
      <c r="BL33" s="10" t="n">
        <f aca="false">IF(ISNUMBER(C33),IF(C33&gt;=Parameters!$B$24,1,IF(C33&lt;=Parameters!$B$25,-1,0)),0)</f>
        <v>0</v>
      </c>
      <c r="BM33" s="10" t="n">
        <f aca="false">IF(ISNUMBER(AJ33),IF(AND(AJ33&gt;Parameters!$B$26,ISNUMBER(U33)),IF(U33&lt;0,-1,1),0),0)</f>
        <v>0</v>
      </c>
      <c r="BN33" s="10" t="n">
        <f aca="false">IF(ISNUMBER(AD33),IF(AD33&gt;Parameters!$B$27,1,IF(AD33&lt;Parameters!$B$28,-1,0)),0)</f>
        <v>0</v>
      </c>
      <c r="BO33" s="17" t="n">
        <f aca="false">BG33+BH33+BI33+BJ33+BK33+BL33+BM33+BN33</f>
        <v>5</v>
      </c>
      <c r="BP33" s="10" t="n">
        <f aca="false">IF(ISNUMBER(F33),IF(F33&gt;=Parameters!$B$30,2,IF(F33&gt;=Parameters!$B$31,1,IF(F33&lt;=Parameters!$B$32,-1,0))),0)</f>
        <v>2</v>
      </c>
      <c r="BQ33" s="10" t="n">
        <f aca="false">IF(ISNUMBER(AK33),IF(AK33&gt;Parameters!$B$33,1,IF(AK33&lt;0,-1,0)),0)</f>
        <v>1</v>
      </c>
      <c r="BR33" s="10" t="n">
        <f aca="false">IF(ISNUMBER(AL33),IF(AL33&gt;Parameters!$B$34,1,IF(AL33&lt;0,-1,0)),0)</f>
        <v>0</v>
      </c>
      <c r="BS33" s="10" t="n">
        <f aca="false">IF(ISNUMBER(AP33),IF(AND(AP33&gt;0,AP33&lt;=Parameters!$B$35),1,IF(AP33&gt;Parameters!$B$36,-1,0)),0)</f>
        <v>1</v>
      </c>
      <c r="BT33" s="10" t="n">
        <f aca="false">IF(ISNUMBER(AY33),IF(AY33&gt;Parameters!$B$37,1,IF(AY33&lt;0,-1,0)),0)</f>
        <v>1</v>
      </c>
      <c r="BU33" s="10" t="n">
        <f aca="false">IF(ISNUMBER(AZ33),IF(AZ33&gt;0,1,0),0)</f>
        <v>1</v>
      </c>
      <c r="BV33" s="10" t="n">
        <f aca="false">IF(ISNUMBER(AL33),IF(AL33&gt;Parameters!$B$39,2,IF(AL33&gt;Parameters!$B$40,1,IF(AL33&lt;0,-2,IF(AL33&lt;Parameters!$B$41,-1,0)))),0)</f>
        <v>-1</v>
      </c>
      <c r="BW33" s="10" t="n">
        <f aca="false">IF(ISNUMBER(AV33),IF(AV33&gt;Parameters!$B$42,1,IF(AV33&lt;Parameters!$B$43,-1,0)),0)</f>
        <v>1</v>
      </c>
      <c r="BX33" s="10" t="n">
        <f aca="false">IF(AND(ISNUMBER(AX33),AX33&gt;0),1,IF(AND(ISNUMBER(AY33),AY33&lt;Parameters!$B$44),-1,0))</f>
        <v>1</v>
      </c>
      <c r="BY33" s="10" t="n">
        <f aca="false">IF(ISNUMBER(AW33),IF(AW33&gt;0,1,0),0)</f>
        <v>1</v>
      </c>
      <c r="BZ33" s="10" t="n">
        <f aca="false">IF(ISNUMBER(AQ33),IF(AQ33&gt;Parameters!$B$46,-2,IF(AQ33&gt;Parameters!$B$45,-1,0)),0)</f>
        <v>0</v>
      </c>
      <c r="CA33" s="10" t="n">
        <f aca="false">IF(ISNUMBER(F33),IF(F33&gt;=Parameters!$B$47,1,IF(F33&lt;=Parameters!$B$48,-1,0)),0)</f>
        <v>1</v>
      </c>
      <c r="CB33" s="17" t="n">
        <f aca="false">IF(BF33="Established",BP33+BQ33+BR33+BS33+BT33+BU33,IF(BF33="Early",BV33+BW33+BX33+BY33+BZ33+CA33,0))</f>
        <v>6</v>
      </c>
      <c r="CC33" s="18" t="n">
        <f aca="false">IF(BF33="Established",BO33+CB33,IF(BF33="Early",BO33+Parameters!$B$50*CB33,BO33))</f>
        <v>11</v>
      </c>
      <c r="CD33" s="17" t="n">
        <f aca="false">IF(BF33="Established",IF(CC33&gt;=Parameters!$B$51,6,IF(CC33&gt;=Parameters!$B$52,5,IF(CC33&gt;=Parameters!$B$53,4,IF(CC33&gt;=Parameters!$B$54,3,IF(CC33&gt;=Parameters!$B$55,2,1))))),IF(BF33="Early",IF(CC33&gt;=Parameters!$B$56,5,IF(CC33&gt;=Parameters!$B$57,4,IF(CC33&gt;=Parameters!$B$58,3,IF(CC33&gt;=Parameters!$B$59,2,1)))),IF(CC33&gt;=Parameters!$B$60,6,IF(CC33&gt;=Parameters!$B$61,5,IF(CC33&gt;=Parameters!$B$62,4,IF(CC33&gt;=Parameters!$B$63,3,IF(CC33&gt;=Parameters!$B$64,2,1)))))))</f>
        <v>5</v>
      </c>
      <c r="CE33" s="10" t="n">
        <f aca="false">IF(AND(ISNUMBER(AR33),AR33&lt;Parameters!$B$66),1,0)</f>
        <v>0</v>
      </c>
      <c r="CF33" s="10" t="n">
        <f aca="false">IF(AND(LEFT(AH33,5)="Death",ISNUMBER(AG33)),IF(BF33="Early",IF(AND(AG33&lt;Parameters!$B$70,ISNUMBER(U33),U33&lt;Parameters!$B$71),1,0),IF(AND(AG33&lt;Parameters!$B$67,OR(AND(ISNUMBER(U33),U33&lt;Parameters!$B$68),AND(ISNUMBER(V33),V33&lt;Parameters!$B$69))),1,0)),0)</f>
        <v>0</v>
      </c>
      <c r="CG33" s="10" t="n">
        <f aca="false">IF(AND(ISNUMBER(AG33),AG33&lt;0),1,0)</f>
        <v>0</v>
      </c>
      <c r="CH33" s="10" t="n">
        <f aca="false">IF(OR(AND(ISNUMBER(U33),U33&gt;Parameters!$B$74),AND(ISNUMBER(AF33),AF33&gt;Parameters!$B$75),AND(ISNUMBER(AE33),AE33&gt;Parameters!$B$76)),1,0)</f>
        <v>0</v>
      </c>
      <c r="CI33" s="10" t="n">
        <f aca="false">IF(AND(ISNUMBER(BC33),BC33&gt;=0,BC33&lt;=Parameters!$B$77),1,0)</f>
        <v>0</v>
      </c>
      <c r="CJ33" s="17" t="n">
        <f aca="false">IF(CF33=1,1,MIN(CD33,IF(CE33=1,3,6),IF(CG33=1,IF(BF33="Early",Parameters!$B$73,Parameters!$B$72),6),IF(CH33=1,3,6),IF(CI33=1,3,6)))</f>
        <v>5</v>
      </c>
      <c r="CK33" s="10" t="str">
        <f aca="false">INDEX(Parameters!$F$2:$F$7,CJ33)</f>
        <v>Buy</v>
      </c>
      <c r="CL33" s="10" t="str">
        <f aca="false">IF(CF33=1,"Hard sell: breakdown; ","")&amp;IF(CE33=1,"Insufficient history; ","")&amp;IF(AND(CF33=0,CG33=1),"Below 200D; ","")&amp;IF(CH33=1,"Extended - wait for pullback; ","")&amp;IF(CI33=1,"Earnings within "&amp;Parameters!$B$77&amp;"d; ","")</f>
        <v/>
      </c>
    </row>
    <row r="34" customFormat="false" ht="15" hidden="false" customHeight="false" outlineLevel="0" collapsed="false">
      <c r="A34" s="10" t="s">
        <v>387</v>
      </c>
      <c r="B34" s="10" t="n">
        <v>6</v>
      </c>
      <c r="C34" s="10" t="n">
        <v>5</v>
      </c>
      <c r="D34" s="10" t="n">
        <v>44.4</v>
      </c>
      <c r="E34" s="10" t="n">
        <v>-0.7</v>
      </c>
      <c r="F34" s="10" t="n">
        <v>9</v>
      </c>
      <c r="G34" s="10" t="s">
        <v>388</v>
      </c>
      <c r="H34" s="10" t="s">
        <v>314</v>
      </c>
      <c r="I34" s="10" t="n">
        <v>166.96</v>
      </c>
      <c r="J34" s="10" t="s">
        <v>295</v>
      </c>
      <c r="K34" s="10" t="s">
        <v>296</v>
      </c>
      <c r="L34" s="15" t="n">
        <v>407390504114</v>
      </c>
      <c r="M34" s="16" t="n">
        <v>46237</v>
      </c>
      <c r="N34" s="10" t="n">
        <v>17.14</v>
      </c>
      <c r="O34" s="16" t="n">
        <v>46328</v>
      </c>
      <c r="P34" s="10" t="s">
        <v>297</v>
      </c>
      <c r="Q34" s="10" t="n">
        <v>-1.52</v>
      </c>
      <c r="R34" s="10" t="n">
        <v>-0.45</v>
      </c>
      <c r="S34" s="10" t="n">
        <v>-1.48</v>
      </c>
      <c r="T34" s="10" t="n">
        <v>-5.94</v>
      </c>
      <c r="U34" s="10" t="n">
        <v>-4.56</v>
      </c>
      <c r="V34" s="10" t="n">
        <v>28.22</v>
      </c>
      <c r="W34" s="10" t="n">
        <v>10.13</v>
      </c>
      <c r="X34" s="10" t="n">
        <v>2.83</v>
      </c>
      <c r="Y34" s="10"/>
      <c r="Z34" s="10"/>
      <c r="AA34" s="10"/>
      <c r="AB34" s="10"/>
      <c r="AC34" s="10" t="n">
        <v>23.58</v>
      </c>
      <c r="AD34" s="10" t="n">
        <v>-19.55</v>
      </c>
      <c r="AE34" s="10" t="n">
        <v>48.85</v>
      </c>
      <c r="AF34" s="10" t="n">
        <v>9.04</v>
      </c>
      <c r="AG34" s="10" t="n">
        <v>10.23</v>
      </c>
      <c r="AH34" s="10" t="s">
        <v>389</v>
      </c>
      <c r="AI34" s="10" t="n">
        <v>-3.02</v>
      </c>
      <c r="AJ34" s="10" t="n">
        <v>-22.27</v>
      </c>
      <c r="AK34" s="10" t="n">
        <v>225</v>
      </c>
      <c r="AL34" s="10" t="n">
        <v>92.8</v>
      </c>
      <c r="AM34" s="10" t="n">
        <v>49</v>
      </c>
      <c r="AN34" s="10" t="n">
        <v>38.1</v>
      </c>
      <c r="AO34" s="10" t="n">
        <v>74.01</v>
      </c>
      <c r="AP34" s="10" t="n">
        <v>0.69</v>
      </c>
      <c r="AQ34" s="10" t="n">
        <v>3.24</v>
      </c>
      <c r="AR34" s="10" t="n">
        <v>300</v>
      </c>
      <c r="AS34" s="16" t="n">
        <v>46275</v>
      </c>
      <c r="AT34" s="15" t="n">
        <v>6155940864</v>
      </c>
      <c r="AU34" s="15" t="n">
        <v>5219999744</v>
      </c>
      <c r="AV34" s="10" t="n">
        <v>84.8</v>
      </c>
      <c r="AW34" s="15" t="n">
        <v>3016691968</v>
      </c>
      <c r="AX34" s="15" t="n">
        <v>2159104512</v>
      </c>
      <c r="AY34" s="10" t="n">
        <v>35.07</v>
      </c>
      <c r="AZ34" s="15" t="n">
        <v>9197698752</v>
      </c>
      <c r="BA34" s="10" t="n">
        <v>56.96</v>
      </c>
      <c r="BB34" s="10" t="n">
        <v>59.9</v>
      </c>
      <c r="BC34" s="17" t="n">
        <f aca="false">IF(AND(ISNUMBER(O34),ISNUMBER(AS34)),O34-AS34,"")</f>
        <v>53</v>
      </c>
      <c r="BD34" s="10" t="n">
        <f aca="false">IF(OR(ISNUMBER(SEARCH("ETF",H34)),AND(F34="",AO34="")),1,0)</f>
        <v>0</v>
      </c>
      <c r="BE34" s="17" t="n">
        <f aca="false">IF(ISNUMBER(L34),IF(L34&gt;=Parameters!$B$3,2,IF(L34&gt;=Parameters!$B$4,1,0)),0)+IF(ISNUMBER(AW34),IF(AW34&gt;0,IF(AND(ISNUMBER(AM34),AM34&gt;=Parameters!$B$5),2,1),0),0)+IF(ISNUMBER(AX34),IF(AND(AX34&gt;0,ISNUMBER(AY34),AY34&gt;=Parameters!$B$6),1,0),0)+IF(ISNUMBER(AO34),IF(AND(AO34&gt;0,AO34&lt;=Parameters!$B$7),1,0),0)+IF(ISNUMBER(F34),IF(F34&gt;=Parameters!$B$8,1,0),0)</f>
        <v>6</v>
      </c>
      <c r="BF34" s="10" t="str">
        <f aca="false">IF(BD34=1,"ETF",IF(OR(AND(ISNUMBER(L34),L34&gt;=Parameters!$B$10),BE34&gt;=Parameters!$B$9),"Established","Early"))</f>
        <v>Established</v>
      </c>
      <c r="BG34" s="10" t="n">
        <f aca="false">IF(LEFT(AH34,6)="Golden",2,IF(LEFT(AH34,5)="Death",-2,0))</f>
        <v>2</v>
      </c>
      <c r="BH34" s="10" t="n">
        <f aca="false">IF(ISNUMBER(AG34),IF(AG34&gt;Parameters!$B$12,2,IF(AG34&gt;0,1,IF(AG34&gt;=Parameters!$B$13,-1,-2))),0)</f>
        <v>2</v>
      </c>
      <c r="BI34" s="10" t="n">
        <f aca="false">IF(ISNUMBER(AF34),IF(AND(AF34&gt;=Parameters!$B$14,AF34&lt;=Parameters!$B$15),1,IF(OR(AF34&gt;Parameters!$B$16,AF34&lt;Parameters!$B$17),-1,0)),0)</f>
        <v>0</v>
      </c>
      <c r="BJ34" s="10" t="n">
        <f aca="false">IF(ISNUMBER(AE34),IF(AND(AE34&gt;=Parameters!$B$18,AE34&lt;=Parameters!$B$19),1,IF(OR(AE34&gt;Parameters!$B$20,AE34&lt;Parameters!$B$21),-1,0)),0)</f>
        <v>1</v>
      </c>
      <c r="BK34" s="10" t="n">
        <f aca="false">IF(ISNUMBER(E34),IF(E34&gt;Parameters!$B$22,1,IF(E34&lt;Parameters!$B$23,-1,0)),0)</f>
        <v>0</v>
      </c>
      <c r="BL34" s="10" t="n">
        <f aca="false">IF(ISNUMBER(C34),IF(C34&gt;=Parameters!$B$24,1,IF(C34&lt;=Parameters!$B$25,-1,0)),0)</f>
        <v>0</v>
      </c>
      <c r="BM34" s="10" t="n">
        <f aca="false">IF(ISNUMBER(AJ34),IF(AND(AJ34&gt;Parameters!$B$26,ISNUMBER(U34)),IF(U34&lt;0,-1,1),0),0)</f>
        <v>0</v>
      </c>
      <c r="BN34" s="10" t="n">
        <f aca="false">IF(ISNUMBER(AD34),IF(AD34&gt;Parameters!$B$27,1,IF(AD34&lt;Parameters!$B$28,-1,0)),0)</f>
        <v>0</v>
      </c>
      <c r="BO34" s="17" t="n">
        <f aca="false">BG34+BH34+BI34+BJ34+BK34+BL34+BM34+BN34</f>
        <v>5</v>
      </c>
      <c r="BP34" s="10" t="n">
        <f aca="false">IF(ISNUMBER(F34),IF(F34&gt;=Parameters!$B$30,2,IF(F34&gt;=Parameters!$B$31,1,IF(F34&lt;=Parameters!$B$32,-1,0))),0)</f>
        <v>2</v>
      </c>
      <c r="BQ34" s="10" t="n">
        <f aca="false">IF(ISNUMBER(AK34),IF(AK34&gt;Parameters!$B$33,1,IF(AK34&lt;0,-1,0)),0)</f>
        <v>1</v>
      </c>
      <c r="BR34" s="10" t="n">
        <f aca="false">IF(ISNUMBER(AL34),IF(AL34&gt;Parameters!$B$34,1,IF(AL34&lt;0,-1,0)),0)</f>
        <v>1</v>
      </c>
      <c r="BS34" s="10" t="n">
        <f aca="false">IF(ISNUMBER(AP34),IF(AND(AP34&gt;0,AP34&lt;=Parameters!$B$35),1,IF(AP34&gt;Parameters!$B$36,-1,0)),0)</f>
        <v>1</v>
      </c>
      <c r="BT34" s="10" t="n">
        <f aca="false">IF(ISNUMBER(AY34),IF(AY34&gt;Parameters!$B$37,1,IF(AY34&lt;0,-1,0)),0)</f>
        <v>1</v>
      </c>
      <c r="BU34" s="10" t="n">
        <f aca="false">IF(ISNUMBER(AZ34),IF(AZ34&gt;0,1,0),0)</f>
        <v>1</v>
      </c>
      <c r="BV34" s="10" t="n">
        <f aca="false">IF(ISNUMBER(AL34),IF(AL34&gt;Parameters!$B$39,2,IF(AL34&gt;Parameters!$B$40,1,IF(AL34&lt;0,-2,IF(AL34&lt;Parameters!$B$41,-1,0)))),0)</f>
        <v>2</v>
      </c>
      <c r="BW34" s="10" t="n">
        <f aca="false">IF(ISNUMBER(AV34),IF(AV34&gt;Parameters!$B$42,1,IF(AV34&lt;Parameters!$B$43,-1,0)),0)</f>
        <v>1</v>
      </c>
      <c r="BX34" s="10" t="n">
        <f aca="false">IF(AND(ISNUMBER(AX34),AX34&gt;0),1,IF(AND(ISNUMBER(AY34),AY34&lt;Parameters!$B$44),-1,0))</f>
        <v>1</v>
      </c>
      <c r="BY34" s="10" t="n">
        <f aca="false">IF(ISNUMBER(AW34),IF(AW34&gt;0,1,0),0)</f>
        <v>1</v>
      </c>
      <c r="BZ34" s="10" t="n">
        <f aca="false">IF(ISNUMBER(AQ34),IF(AQ34&gt;Parameters!$B$46,-2,IF(AQ34&gt;Parameters!$B$45,-1,0)),0)</f>
        <v>0</v>
      </c>
      <c r="CA34" s="10" t="n">
        <f aca="false">IF(ISNUMBER(F34),IF(F34&gt;=Parameters!$B$47,1,IF(F34&lt;=Parameters!$B$48,-1,0)),0)</f>
        <v>1</v>
      </c>
      <c r="CB34" s="17" t="n">
        <f aca="false">IF(BF34="Established",BP34+BQ34+BR34+BS34+BT34+BU34,IF(BF34="Early",BV34+BW34+BX34+BY34+BZ34+CA34,0))</f>
        <v>7</v>
      </c>
      <c r="CC34" s="18" t="n">
        <f aca="false">IF(BF34="Established",BO34+CB34,IF(BF34="Early",BO34+Parameters!$B$50*CB34,BO34))</f>
        <v>12</v>
      </c>
      <c r="CD34" s="17" t="n">
        <f aca="false">IF(BF34="Established",IF(CC34&gt;=Parameters!$B$51,6,IF(CC34&gt;=Parameters!$B$52,5,IF(CC34&gt;=Parameters!$B$53,4,IF(CC34&gt;=Parameters!$B$54,3,IF(CC34&gt;=Parameters!$B$55,2,1))))),IF(BF34="Early",IF(CC34&gt;=Parameters!$B$56,5,IF(CC34&gt;=Parameters!$B$57,4,IF(CC34&gt;=Parameters!$B$58,3,IF(CC34&gt;=Parameters!$B$59,2,1)))),IF(CC34&gt;=Parameters!$B$60,6,IF(CC34&gt;=Parameters!$B$61,5,IF(CC34&gt;=Parameters!$B$62,4,IF(CC34&gt;=Parameters!$B$63,3,IF(CC34&gt;=Parameters!$B$64,2,1)))))))</f>
        <v>5</v>
      </c>
      <c r="CE34" s="10" t="n">
        <f aca="false">IF(AND(ISNUMBER(AR34),AR34&lt;Parameters!$B$66),1,0)</f>
        <v>0</v>
      </c>
      <c r="CF34" s="10" t="n">
        <f aca="false">IF(AND(LEFT(AH34,5)="Death",ISNUMBER(AG34)),IF(BF34="Early",IF(AND(AG34&lt;Parameters!$B$70,ISNUMBER(U34),U34&lt;Parameters!$B$71),1,0),IF(AND(AG34&lt;Parameters!$B$67,OR(AND(ISNUMBER(U34),U34&lt;Parameters!$B$68),AND(ISNUMBER(V34),V34&lt;Parameters!$B$69))),1,0)),0)</f>
        <v>0</v>
      </c>
      <c r="CG34" s="10" t="n">
        <f aca="false">IF(AND(ISNUMBER(AG34),AG34&lt;0),1,0)</f>
        <v>0</v>
      </c>
      <c r="CH34" s="10" t="n">
        <f aca="false">IF(OR(AND(ISNUMBER(U34),U34&gt;Parameters!$B$74),AND(ISNUMBER(AF34),AF34&gt;Parameters!$B$75),AND(ISNUMBER(AE34),AE34&gt;Parameters!$B$76)),1,0)</f>
        <v>0</v>
      </c>
      <c r="CI34" s="10" t="n">
        <f aca="false">IF(AND(ISNUMBER(BC34),BC34&gt;=0,BC34&lt;=Parameters!$B$77),1,0)</f>
        <v>0</v>
      </c>
      <c r="CJ34" s="17" t="n">
        <f aca="false">IF(CF34=1,1,MIN(CD34,IF(CE34=1,3,6),IF(CG34=1,IF(BF34="Early",Parameters!$B$73,Parameters!$B$72),6),IF(CH34=1,3,6),IF(CI34=1,3,6)))</f>
        <v>5</v>
      </c>
      <c r="CK34" s="10" t="str">
        <f aca="false">INDEX(Parameters!$F$2:$F$7,CJ34)</f>
        <v>Buy</v>
      </c>
      <c r="CL34" s="10" t="str">
        <f aca="false">IF(CF34=1,"Hard sell: breakdown; ","")&amp;IF(CE34=1,"Insufficient history; ","")&amp;IF(AND(CF34=0,CG34=1),"Below 200D; ","")&amp;IF(CH34=1,"Extended - wait for pullback; ","")&amp;IF(CI34=1,"Earnings within "&amp;Parameters!$B$77&amp;"d; ","")</f>
        <v/>
      </c>
    </row>
    <row r="35" customFormat="false" ht="15" hidden="false" customHeight="false" outlineLevel="0" collapsed="false">
      <c r="A35" s="10" t="s">
        <v>390</v>
      </c>
      <c r="B35" s="10" t="n">
        <v>6</v>
      </c>
      <c r="C35" s="10" t="n">
        <v>6</v>
      </c>
      <c r="D35" s="10" t="n">
        <v>45.8</v>
      </c>
      <c r="E35" s="10" t="n">
        <v>12.6</v>
      </c>
      <c r="F35" s="10" t="n">
        <v>7</v>
      </c>
      <c r="G35" s="10" t="s">
        <v>391</v>
      </c>
      <c r="H35" s="10" t="s">
        <v>334</v>
      </c>
      <c r="I35" s="10" t="n">
        <v>263.6</v>
      </c>
      <c r="J35" s="10" t="s">
        <v>295</v>
      </c>
      <c r="K35" s="10" t="s">
        <v>360</v>
      </c>
      <c r="L35" s="15" t="n">
        <v>79310323730</v>
      </c>
      <c r="M35" s="16" t="n">
        <v>46231</v>
      </c>
      <c r="N35" s="10" t="n">
        <v>90.24</v>
      </c>
      <c r="O35" s="16" t="n">
        <v>46322</v>
      </c>
      <c r="P35" s="10" t="s">
        <v>297</v>
      </c>
      <c r="Q35" s="10" t="n">
        <v>-2.11</v>
      </c>
      <c r="R35" s="10" t="n">
        <v>-2.86</v>
      </c>
      <c r="S35" s="10" t="n">
        <v>21.32</v>
      </c>
      <c r="T35" s="10" t="n">
        <v>20.8</v>
      </c>
      <c r="U35" s="10" t="n">
        <v>24.8</v>
      </c>
      <c r="V35" s="10" t="n">
        <v>12.54</v>
      </c>
      <c r="W35" s="10" t="n">
        <v>65.57</v>
      </c>
      <c r="X35" s="10" t="n">
        <v>379.27</v>
      </c>
      <c r="Y35" s="10"/>
      <c r="Z35" s="10"/>
      <c r="AA35" s="10"/>
      <c r="AB35" s="10"/>
      <c r="AC35" s="10" t="n">
        <v>7.9</v>
      </c>
      <c r="AD35" s="10" t="n">
        <v>-24.96</v>
      </c>
      <c r="AE35" s="10" t="n">
        <v>62.74</v>
      </c>
      <c r="AF35" s="10" t="n">
        <v>16.59</v>
      </c>
      <c r="AG35" s="10" t="n">
        <v>36.04</v>
      </c>
      <c r="AH35" s="10" t="s">
        <v>301</v>
      </c>
      <c r="AI35" s="10" t="n">
        <v>7.34</v>
      </c>
      <c r="AJ35" s="10" t="n">
        <v>16.95</v>
      </c>
      <c r="AK35" s="10" t="n">
        <v>165.52</v>
      </c>
      <c r="AL35" s="10" t="n">
        <v>165.5</v>
      </c>
      <c r="AM35" s="10" t="n">
        <v>7.87</v>
      </c>
      <c r="AN35" s="10" t="n">
        <v>22.21</v>
      </c>
      <c r="AO35" s="10" t="n">
        <v>56.46</v>
      </c>
      <c r="AP35" s="10" t="n">
        <v>-0.76</v>
      </c>
      <c r="AQ35" s="10" t="n">
        <v>6.31</v>
      </c>
      <c r="AR35" s="10" t="n">
        <v>300</v>
      </c>
      <c r="AS35" s="16" t="n">
        <v>46275</v>
      </c>
      <c r="AT35" s="15" t="n">
        <v>3113149952</v>
      </c>
      <c r="AU35" s="15" t="n">
        <v>985355008</v>
      </c>
      <c r="AV35" s="10" t="n">
        <v>31.65</v>
      </c>
      <c r="AW35" s="15" t="n">
        <v>244942000</v>
      </c>
      <c r="AX35" s="15" t="n">
        <v>531637504</v>
      </c>
      <c r="AY35" s="10" t="n">
        <v>17.08</v>
      </c>
      <c r="AZ35" s="15" t="n">
        <v>-98164224</v>
      </c>
      <c r="BA35" s="10" t="n">
        <v>339.33</v>
      </c>
      <c r="BB35" s="10" t="n">
        <v>69.9</v>
      </c>
      <c r="BC35" s="17" t="n">
        <f aca="false">IF(AND(ISNUMBER(O35),ISNUMBER(AS35)),O35-AS35,"")</f>
        <v>47</v>
      </c>
      <c r="BD35" s="10" t="n">
        <f aca="false">IF(OR(ISNUMBER(SEARCH("ETF",H35)),AND(F35="",AO35="")),1,0)</f>
        <v>0</v>
      </c>
      <c r="BE35" s="17" t="n">
        <f aca="false">IF(ISNUMBER(L35),IF(L35&gt;=Parameters!$B$3,2,IF(L35&gt;=Parameters!$B$4,1,0)),0)+IF(ISNUMBER(AW35),IF(AW35&gt;0,IF(AND(ISNUMBER(AM35),AM35&gt;=Parameters!$B$5),2,1),0),0)+IF(ISNUMBER(AX35),IF(AND(AX35&gt;0,ISNUMBER(AY35),AY35&gt;=Parameters!$B$6),1,0),0)+IF(ISNUMBER(AO35),IF(AND(AO35&gt;0,AO35&lt;=Parameters!$B$7),1,0),0)+IF(ISNUMBER(F35),IF(F35&gt;=Parameters!$B$8,1,0),0)</f>
        <v>5</v>
      </c>
      <c r="BF35" s="10" t="str">
        <f aca="false">IF(BD35=1,"ETF",IF(OR(AND(ISNUMBER(L35),L35&gt;=Parameters!$B$10),BE35&gt;=Parameters!$B$9),"Established","Early"))</f>
        <v>Established</v>
      </c>
      <c r="BG35" s="10" t="n">
        <f aca="false">IF(LEFT(AH35,6)="Golden",2,IF(LEFT(AH35,5)="Death",-2,0))</f>
        <v>2</v>
      </c>
      <c r="BH35" s="10" t="n">
        <f aca="false">IF(ISNUMBER(AG35),IF(AG35&gt;Parameters!$B$12,2,IF(AG35&gt;0,1,IF(AG35&gt;=Parameters!$B$13,-1,-2))),0)</f>
        <v>2</v>
      </c>
      <c r="BI35" s="10" t="n">
        <f aca="false">IF(ISNUMBER(AF35),IF(AND(AF35&gt;=Parameters!$B$14,AF35&lt;=Parameters!$B$15),1,IF(OR(AF35&gt;Parameters!$B$16,AF35&lt;Parameters!$B$17),-1,0)),0)</f>
        <v>-1</v>
      </c>
      <c r="BJ35" s="10" t="n">
        <f aca="false">IF(ISNUMBER(AE35),IF(AND(AE35&gt;=Parameters!$B$18,AE35&lt;=Parameters!$B$19),1,IF(OR(AE35&gt;Parameters!$B$20,AE35&lt;Parameters!$B$21),-1,0)),0)</f>
        <v>1</v>
      </c>
      <c r="BK35" s="10" t="n">
        <f aca="false">IF(ISNUMBER(E35),IF(E35&gt;Parameters!$B$22,1,IF(E35&lt;Parameters!$B$23,-1,0)),0)</f>
        <v>1</v>
      </c>
      <c r="BL35" s="10" t="n">
        <f aca="false">IF(ISNUMBER(C35),IF(C35&gt;=Parameters!$B$24,1,IF(C35&lt;=Parameters!$B$25,-1,0)),0)</f>
        <v>0</v>
      </c>
      <c r="BM35" s="10" t="n">
        <f aca="false">IF(ISNUMBER(AJ35),IF(AND(AJ35&gt;Parameters!$B$26,ISNUMBER(U35)),IF(U35&lt;0,-1,1),0),0)</f>
        <v>1</v>
      </c>
      <c r="BN35" s="10" t="n">
        <f aca="false">IF(ISNUMBER(AD35),IF(AD35&gt;Parameters!$B$27,1,IF(AD35&lt;Parameters!$B$28,-1,0)),0)</f>
        <v>0</v>
      </c>
      <c r="BO35" s="17" t="n">
        <f aca="false">BG35+BH35+BI35+BJ35+BK35+BL35+BM35+BN35</f>
        <v>6</v>
      </c>
      <c r="BP35" s="10" t="n">
        <f aca="false">IF(ISNUMBER(F35),IF(F35&gt;=Parameters!$B$30,2,IF(F35&gt;=Parameters!$B$31,1,IF(F35&lt;=Parameters!$B$32,-1,0))),0)</f>
        <v>1</v>
      </c>
      <c r="BQ35" s="10" t="n">
        <f aca="false">IF(ISNUMBER(AK35),IF(AK35&gt;Parameters!$B$33,1,IF(AK35&lt;0,-1,0)),0)</f>
        <v>1</v>
      </c>
      <c r="BR35" s="10" t="n">
        <f aca="false">IF(ISNUMBER(AL35),IF(AL35&gt;Parameters!$B$34,1,IF(AL35&lt;0,-1,0)),0)</f>
        <v>1</v>
      </c>
      <c r="BS35" s="10" t="n">
        <f aca="false">IF(ISNUMBER(AP35),IF(AND(AP35&gt;0,AP35&lt;=Parameters!$B$35),1,IF(AP35&gt;Parameters!$B$36,-1,0)),0)</f>
        <v>0</v>
      </c>
      <c r="BT35" s="10" t="n">
        <f aca="false">IF(ISNUMBER(AY35),IF(AY35&gt;Parameters!$B$37,1,IF(AY35&lt;0,-1,0)),0)</f>
        <v>1</v>
      </c>
      <c r="BU35" s="10" t="n">
        <f aca="false">IF(ISNUMBER(AZ35),IF(AZ35&gt;0,1,0),0)</f>
        <v>0</v>
      </c>
      <c r="BV35" s="10" t="n">
        <f aca="false">IF(ISNUMBER(AL35),IF(AL35&gt;Parameters!$B$39,2,IF(AL35&gt;Parameters!$B$40,1,IF(AL35&lt;0,-2,IF(AL35&lt;Parameters!$B$41,-1,0)))),0)</f>
        <v>2</v>
      </c>
      <c r="BW35" s="10" t="n">
        <f aca="false">IF(ISNUMBER(AV35),IF(AV35&gt;Parameters!$B$42,1,IF(AV35&lt;Parameters!$B$43,-1,0)),0)</f>
        <v>0</v>
      </c>
      <c r="BX35" s="10" t="n">
        <f aca="false">IF(AND(ISNUMBER(AX35),AX35&gt;0),1,IF(AND(ISNUMBER(AY35),AY35&lt;Parameters!$B$44),-1,0))</f>
        <v>1</v>
      </c>
      <c r="BY35" s="10" t="n">
        <f aca="false">IF(ISNUMBER(AW35),IF(AW35&gt;0,1,0),0)</f>
        <v>1</v>
      </c>
      <c r="BZ35" s="10" t="n">
        <f aca="false">IF(ISNUMBER(AQ35),IF(AQ35&gt;Parameters!$B$46,-2,IF(AQ35&gt;Parameters!$B$45,-1,0)),0)</f>
        <v>0</v>
      </c>
      <c r="CA35" s="10" t="n">
        <f aca="false">IF(ISNUMBER(F35),IF(F35&gt;=Parameters!$B$47,1,IF(F35&lt;=Parameters!$B$48,-1,0)),0)</f>
        <v>1</v>
      </c>
      <c r="CB35" s="17" t="n">
        <f aca="false">IF(BF35="Established",BP35+BQ35+BR35+BS35+BT35+BU35,IF(BF35="Early",BV35+BW35+BX35+BY35+BZ35+CA35,0))</f>
        <v>4</v>
      </c>
      <c r="CC35" s="18" t="n">
        <f aca="false">IF(BF35="Established",BO35+CB35,IF(BF35="Early",BO35+Parameters!$B$50*CB35,BO35))</f>
        <v>10</v>
      </c>
      <c r="CD35" s="17" t="n">
        <f aca="false">IF(BF35="Established",IF(CC35&gt;=Parameters!$B$51,6,IF(CC35&gt;=Parameters!$B$52,5,IF(CC35&gt;=Parameters!$B$53,4,IF(CC35&gt;=Parameters!$B$54,3,IF(CC35&gt;=Parameters!$B$55,2,1))))),IF(BF35="Early",IF(CC35&gt;=Parameters!$B$56,5,IF(CC35&gt;=Parameters!$B$57,4,IF(CC35&gt;=Parameters!$B$58,3,IF(CC35&gt;=Parameters!$B$59,2,1)))),IF(CC35&gt;=Parameters!$B$60,6,IF(CC35&gt;=Parameters!$B$61,5,IF(CC35&gt;=Parameters!$B$62,4,IF(CC35&gt;=Parameters!$B$63,3,IF(CC35&gt;=Parameters!$B$64,2,1)))))))</f>
        <v>5</v>
      </c>
      <c r="CE35" s="10" t="n">
        <f aca="false">IF(AND(ISNUMBER(AR35),AR35&lt;Parameters!$B$66),1,0)</f>
        <v>0</v>
      </c>
      <c r="CF35" s="10" t="n">
        <f aca="false">IF(AND(LEFT(AH35,5)="Death",ISNUMBER(AG35)),IF(BF35="Early",IF(AND(AG35&lt;Parameters!$B$70,ISNUMBER(U35),U35&lt;Parameters!$B$71),1,0),IF(AND(AG35&lt;Parameters!$B$67,OR(AND(ISNUMBER(U35),U35&lt;Parameters!$B$68),AND(ISNUMBER(V35),V35&lt;Parameters!$B$69))),1,0)),0)</f>
        <v>0</v>
      </c>
      <c r="CG35" s="10" t="n">
        <f aca="false">IF(AND(ISNUMBER(AG35),AG35&lt;0),1,0)</f>
        <v>0</v>
      </c>
      <c r="CH35" s="10" t="n">
        <f aca="false">IF(OR(AND(ISNUMBER(U35),U35&gt;Parameters!$B$74),AND(ISNUMBER(AF35),AF35&gt;Parameters!$B$75),AND(ISNUMBER(AE35),AE35&gt;Parameters!$B$76)),1,0)</f>
        <v>1</v>
      </c>
      <c r="CI35" s="10" t="n">
        <f aca="false">IF(AND(ISNUMBER(BC35),BC35&gt;=0,BC35&lt;=Parameters!$B$77),1,0)</f>
        <v>0</v>
      </c>
      <c r="CJ35" s="17" t="n">
        <f aca="false">IF(CF35=1,1,MIN(CD35,IF(CE35=1,3,6),IF(CG35=1,IF(BF35="Early",Parameters!$B$73,Parameters!$B$72),6),IF(CH35=1,3,6),IF(CI35=1,3,6)))</f>
        <v>3</v>
      </c>
      <c r="CK35" s="10" t="str">
        <f aca="false">INDEX(Parameters!$F$2:$F$7,CJ35)</f>
        <v>Hold</v>
      </c>
      <c r="CL35" s="10" t="str">
        <f aca="false">IF(CF35=1,"Hard sell: breakdown; ","")&amp;IF(CE35=1,"Insufficient history; ","")&amp;IF(AND(CF35=0,CG35=1),"Below 200D; ","")&amp;IF(CH35=1,"Extended - wait for pullback; ","")&amp;IF(CI35=1,"Earnings within "&amp;Parameters!$B$77&amp;"d; ","")</f>
        <v>Extended - wait for pullback; </v>
      </c>
    </row>
    <row r="36" customFormat="false" ht="15" hidden="false" customHeight="false" outlineLevel="0" collapsed="false">
      <c r="A36" s="10" t="s">
        <v>392</v>
      </c>
      <c r="B36" s="10" t="n">
        <v>6</v>
      </c>
      <c r="C36" s="10" t="n">
        <v>4</v>
      </c>
      <c r="D36" s="10" t="n">
        <v>33</v>
      </c>
      <c r="E36" s="10" t="n">
        <v>5</v>
      </c>
      <c r="F36" s="10" t="n">
        <v>10</v>
      </c>
      <c r="G36" s="10" t="s">
        <v>393</v>
      </c>
      <c r="H36" s="10" t="s">
        <v>317</v>
      </c>
      <c r="I36" s="10" t="n">
        <v>363.63</v>
      </c>
      <c r="J36" s="10" t="s">
        <v>295</v>
      </c>
      <c r="K36" s="10" t="s">
        <v>296</v>
      </c>
      <c r="L36" s="15" t="n">
        <v>1733567072547</v>
      </c>
      <c r="M36" s="16" t="n">
        <v>46176</v>
      </c>
      <c r="N36" s="10" t="n">
        <v>1.67</v>
      </c>
      <c r="O36" s="16" t="n">
        <v>46267</v>
      </c>
      <c r="P36" s="10" t="s">
        <v>297</v>
      </c>
      <c r="Q36" s="10" t="n">
        <v>-0.21</v>
      </c>
      <c r="R36" s="10" t="n">
        <v>-1.13</v>
      </c>
      <c r="S36" s="10" t="n">
        <v>-0.98</v>
      </c>
      <c r="T36" s="10" t="n">
        <v>2.26</v>
      </c>
      <c r="U36" s="10" t="n">
        <v>-12.61</v>
      </c>
      <c r="V36" s="10" t="n">
        <v>-2.28</v>
      </c>
      <c r="W36" s="10" t="n">
        <v>6.46</v>
      </c>
      <c r="X36" s="10" t="n">
        <v>8.01</v>
      </c>
      <c r="Y36" s="10"/>
      <c r="Z36" s="10"/>
      <c r="AA36" s="10"/>
      <c r="AB36" s="10"/>
      <c r="AC36" s="10" t="n">
        <v>-6.92</v>
      </c>
      <c r="AD36" s="10" t="n">
        <v>-26.54</v>
      </c>
      <c r="AE36" s="10" t="n">
        <v>42.8</v>
      </c>
      <c r="AF36" s="10" t="n">
        <v>-5.13</v>
      </c>
      <c r="AG36" s="10" t="n">
        <v>-1.75</v>
      </c>
      <c r="AH36" s="10" t="s">
        <v>301</v>
      </c>
      <c r="AI36" s="10" t="n">
        <v>0.08</v>
      </c>
      <c r="AJ36" s="10" t="n">
        <v>24</v>
      </c>
      <c r="AK36" s="10" t="n">
        <v>216.1</v>
      </c>
      <c r="AL36" s="10" t="n">
        <v>85.5</v>
      </c>
      <c r="AM36" s="10" t="n">
        <v>42.94</v>
      </c>
      <c r="AN36" s="10" t="n">
        <v>44.25</v>
      </c>
      <c r="AO36" s="10" t="n">
        <v>19.12</v>
      </c>
      <c r="AP36" s="10" t="n">
        <v>0.22</v>
      </c>
      <c r="AQ36" s="10" t="n">
        <v>1.19</v>
      </c>
      <c r="AR36" s="10" t="n">
        <v>300</v>
      </c>
      <c r="AS36" s="16" t="n">
        <v>46275</v>
      </c>
      <c r="AT36" s="15" t="n">
        <v>89103998976</v>
      </c>
      <c r="AU36" s="15" t="n">
        <v>67286999040</v>
      </c>
      <c r="AV36" s="10" t="n">
        <v>75.52</v>
      </c>
      <c r="AW36" s="15" t="n">
        <v>38264999936</v>
      </c>
      <c r="AX36" s="15" t="n">
        <v>30497124352</v>
      </c>
      <c r="AY36" s="10" t="n">
        <v>34.23</v>
      </c>
      <c r="AZ36" s="15" t="n">
        <v>-35444000768</v>
      </c>
      <c r="BA36" s="10" t="n">
        <v>25.41</v>
      </c>
      <c r="BB36" s="10" t="n">
        <v>35.93</v>
      </c>
      <c r="BC36" s="17" t="n">
        <f aca="false">IF(AND(ISNUMBER(O36),ISNUMBER(AS36)),O36-AS36,"")</f>
        <v>-8</v>
      </c>
      <c r="BD36" s="10" t="n">
        <f aca="false">IF(OR(ISNUMBER(SEARCH("ETF",H36)),AND(F36="",AO36="")),1,0)</f>
        <v>0</v>
      </c>
      <c r="BE36" s="17" t="n">
        <f aca="false">IF(ISNUMBER(L36),IF(L36&gt;=Parameters!$B$3,2,IF(L36&gt;=Parameters!$B$4,1,0)),0)+IF(ISNUMBER(AW36),IF(AW36&gt;0,IF(AND(ISNUMBER(AM36),AM36&gt;=Parameters!$B$5),2,1),0),0)+IF(ISNUMBER(AX36),IF(AND(AX36&gt;0,ISNUMBER(AY36),AY36&gt;=Parameters!$B$6),1,0),0)+IF(ISNUMBER(AO36),IF(AND(AO36&gt;0,AO36&lt;=Parameters!$B$7),1,0),0)+IF(ISNUMBER(F36),IF(F36&gt;=Parameters!$B$8,1,0),0)</f>
        <v>7</v>
      </c>
      <c r="BF36" s="10" t="str">
        <f aca="false">IF(BD36=1,"ETF",IF(OR(AND(ISNUMBER(L36),L36&gt;=Parameters!$B$10),BE36&gt;=Parameters!$B$9),"Established","Early"))</f>
        <v>Established</v>
      </c>
      <c r="BG36" s="10" t="n">
        <f aca="false">IF(LEFT(AH36,6)="Golden",2,IF(LEFT(AH36,5)="Death",-2,0))</f>
        <v>2</v>
      </c>
      <c r="BH36" s="10" t="n">
        <f aca="false">IF(ISNUMBER(AG36),IF(AG36&gt;Parameters!$B$12,2,IF(AG36&gt;0,1,IF(AG36&gt;=Parameters!$B$13,-1,-2))),0)</f>
        <v>-1</v>
      </c>
      <c r="BI36" s="10" t="n">
        <f aca="false">IF(ISNUMBER(AF36),IF(AND(AF36&gt;=Parameters!$B$14,AF36&lt;=Parameters!$B$15),1,IF(OR(AF36&gt;Parameters!$B$16,AF36&lt;Parameters!$B$17),-1,0)),0)</f>
        <v>0</v>
      </c>
      <c r="BJ36" s="10" t="n">
        <f aca="false">IF(ISNUMBER(AE36),IF(AND(AE36&gt;=Parameters!$B$18,AE36&lt;=Parameters!$B$19),1,IF(OR(AE36&gt;Parameters!$B$20,AE36&lt;Parameters!$B$21),-1,0)),0)</f>
        <v>0</v>
      </c>
      <c r="BK36" s="10" t="n">
        <f aca="false">IF(ISNUMBER(E36),IF(E36&gt;Parameters!$B$22,1,IF(E36&lt;Parameters!$B$23,-1,0)),0)</f>
        <v>1</v>
      </c>
      <c r="BL36" s="10" t="n">
        <f aca="false">IF(ISNUMBER(C36),IF(C36&gt;=Parameters!$B$24,1,IF(C36&lt;=Parameters!$B$25,-1,0)),0)</f>
        <v>0</v>
      </c>
      <c r="BM36" s="10" t="n">
        <f aca="false">IF(ISNUMBER(AJ36),IF(AND(AJ36&gt;Parameters!$B$26,ISNUMBER(U36)),IF(U36&lt;0,-1,1),0),0)</f>
        <v>-1</v>
      </c>
      <c r="BN36" s="10" t="n">
        <f aca="false">IF(ISNUMBER(AD36),IF(AD36&gt;Parameters!$B$27,1,IF(AD36&lt;Parameters!$B$28,-1,0)),0)</f>
        <v>0</v>
      </c>
      <c r="BO36" s="17" t="n">
        <f aca="false">BG36+BH36+BI36+BJ36+BK36+BL36+BM36+BN36</f>
        <v>1</v>
      </c>
      <c r="BP36" s="10" t="n">
        <f aca="false">IF(ISNUMBER(F36),IF(F36&gt;=Parameters!$B$30,2,IF(F36&gt;=Parameters!$B$31,1,IF(F36&lt;=Parameters!$B$32,-1,0))),0)</f>
        <v>2</v>
      </c>
      <c r="BQ36" s="10" t="n">
        <f aca="false">IF(ISNUMBER(AK36),IF(AK36&gt;Parameters!$B$33,1,IF(AK36&lt;0,-1,0)),0)</f>
        <v>1</v>
      </c>
      <c r="BR36" s="10" t="n">
        <f aca="false">IF(ISNUMBER(AL36),IF(AL36&gt;Parameters!$B$34,1,IF(AL36&lt;0,-1,0)),0)</f>
        <v>1</v>
      </c>
      <c r="BS36" s="10" t="n">
        <f aca="false">IF(ISNUMBER(AP36),IF(AND(AP36&gt;0,AP36&lt;=Parameters!$B$35),1,IF(AP36&gt;Parameters!$B$36,-1,0)),0)</f>
        <v>1</v>
      </c>
      <c r="BT36" s="10" t="n">
        <f aca="false">IF(ISNUMBER(AY36),IF(AY36&gt;Parameters!$B$37,1,IF(AY36&lt;0,-1,0)),0)</f>
        <v>1</v>
      </c>
      <c r="BU36" s="10" t="n">
        <f aca="false">IF(ISNUMBER(AZ36),IF(AZ36&gt;0,1,0),0)</f>
        <v>0</v>
      </c>
      <c r="BV36" s="10" t="n">
        <f aca="false">IF(ISNUMBER(AL36),IF(AL36&gt;Parameters!$B$39,2,IF(AL36&gt;Parameters!$B$40,1,IF(AL36&lt;0,-2,IF(AL36&lt;Parameters!$B$41,-1,0)))),0)</f>
        <v>2</v>
      </c>
      <c r="BW36" s="10" t="n">
        <f aca="false">IF(ISNUMBER(AV36),IF(AV36&gt;Parameters!$B$42,1,IF(AV36&lt;Parameters!$B$43,-1,0)),0)</f>
        <v>1</v>
      </c>
      <c r="BX36" s="10" t="n">
        <f aca="false">IF(AND(ISNUMBER(AX36),AX36&gt;0),1,IF(AND(ISNUMBER(AY36),AY36&lt;Parameters!$B$44),-1,0))</f>
        <v>1</v>
      </c>
      <c r="BY36" s="10" t="n">
        <f aca="false">IF(ISNUMBER(AW36),IF(AW36&gt;0,1,0),0)</f>
        <v>1</v>
      </c>
      <c r="BZ36" s="10" t="n">
        <f aca="false">IF(ISNUMBER(AQ36),IF(AQ36&gt;Parameters!$B$46,-2,IF(AQ36&gt;Parameters!$B$45,-1,0)),0)</f>
        <v>0</v>
      </c>
      <c r="CA36" s="10" t="n">
        <f aca="false">IF(ISNUMBER(F36),IF(F36&gt;=Parameters!$B$47,1,IF(F36&lt;=Parameters!$B$48,-1,0)),0)</f>
        <v>1</v>
      </c>
      <c r="CB36" s="17" t="n">
        <f aca="false">IF(BF36="Established",BP36+BQ36+BR36+BS36+BT36+BU36,IF(BF36="Early",BV36+BW36+BX36+BY36+BZ36+CA36,0))</f>
        <v>6</v>
      </c>
      <c r="CC36" s="18" t="n">
        <f aca="false">IF(BF36="Established",BO36+CB36,IF(BF36="Early",BO36+Parameters!$B$50*CB36,BO36))</f>
        <v>7</v>
      </c>
      <c r="CD36" s="17" t="n">
        <f aca="false">IF(BF36="Established",IF(CC36&gt;=Parameters!$B$51,6,IF(CC36&gt;=Parameters!$B$52,5,IF(CC36&gt;=Parameters!$B$53,4,IF(CC36&gt;=Parameters!$B$54,3,IF(CC36&gt;=Parameters!$B$55,2,1))))),IF(BF36="Early",IF(CC36&gt;=Parameters!$B$56,5,IF(CC36&gt;=Parameters!$B$57,4,IF(CC36&gt;=Parameters!$B$58,3,IF(CC36&gt;=Parameters!$B$59,2,1)))),IF(CC36&gt;=Parameters!$B$60,6,IF(CC36&gt;=Parameters!$B$61,5,IF(CC36&gt;=Parameters!$B$62,4,IF(CC36&gt;=Parameters!$B$63,3,IF(CC36&gt;=Parameters!$B$64,2,1)))))))</f>
        <v>4</v>
      </c>
      <c r="CE36" s="10" t="n">
        <f aca="false">IF(AND(ISNUMBER(AR36),AR36&lt;Parameters!$B$66),1,0)</f>
        <v>0</v>
      </c>
      <c r="CF36" s="10" t="n">
        <f aca="false">IF(AND(LEFT(AH36,5)="Death",ISNUMBER(AG36)),IF(BF36="Early",IF(AND(AG36&lt;Parameters!$B$70,ISNUMBER(U36),U36&lt;Parameters!$B$71),1,0),IF(AND(AG36&lt;Parameters!$B$67,OR(AND(ISNUMBER(U36),U36&lt;Parameters!$B$68),AND(ISNUMBER(V36),V36&lt;Parameters!$B$69))),1,0)),0)</f>
        <v>0</v>
      </c>
      <c r="CG36" s="10" t="n">
        <f aca="false">IF(AND(ISNUMBER(AG36),AG36&lt;0),1,0)</f>
        <v>1</v>
      </c>
      <c r="CH36" s="10" t="n">
        <f aca="false">IF(OR(AND(ISNUMBER(U36),U36&gt;Parameters!$B$74),AND(ISNUMBER(AF36),AF36&gt;Parameters!$B$75),AND(ISNUMBER(AE36),AE36&gt;Parameters!$B$76)),1,0)</f>
        <v>0</v>
      </c>
      <c r="CI36" s="10" t="n">
        <f aca="false">IF(AND(ISNUMBER(BC36),BC36&gt;=0,BC36&lt;=Parameters!$B$77),1,0)</f>
        <v>0</v>
      </c>
      <c r="CJ36" s="17" t="n">
        <f aca="false">IF(CF36=1,1,MIN(CD36,IF(CE36=1,3,6),IF(CG36=1,IF(BF36="Early",Parameters!$B$73,Parameters!$B$72),6),IF(CH36=1,3,6),IF(CI36=1,3,6)))</f>
        <v>3</v>
      </c>
      <c r="CK36" s="10" t="str">
        <f aca="false">INDEX(Parameters!$F$2:$F$7,CJ36)</f>
        <v>Hold</v>
      </c>
      <c r="CL36" s="10" t="str">
        <f aca="false">IF(CF36=1,"Hard sell: breakdown; ","")&amp;IF(CE36=1,"Insufficient history; ","")&amp;IF(AND(CF36=0,CG36=1),"Below 200D; ","")&amp;IF(CH36=1,"Extended - wait for pullback; ","")&amp;IF(CI36=1,"Earnings within "&amp;Parameters!$B$77&amp;"d; ","")</f>
        <v>Below 200D; </v>
      </c>
    </row>
    <row r="37" customFormat="false" ht="15" hidden="false" customHeight="false" outlineLevel="0" collapsed="false">
      <c r="A37" s="10" t="s">
        <v>394</v>
      </c>
      <c r="B37" s="10" t="n">
        <v>6</v>
      </c>
      <c r="C37" s="10" t="n">
        <v>7</v>
      </c>
      <c r="D37" s="10" t="n">
        <v>63.4</v>
      </c>
      <c r="E37" s="10" t="n">
        <v>3.8</v>
      </c>
      <c r="F37" s="10" t="n">
        <v>5</v>
      </c>
      <c r="G37" s="10" t="s">
        <v>395</v>
      </c>
      <c r="H37" s="10" t="s">
        <v>314</v>
      </c>
      <c r="I37" s="10" t="n">
        <v>334.34</v>
      </c>
      <c r="J37" s="10" t="s">
        <v>295</v>
      </c>
      <c r="K37" s="10" t="s">
        <v>296</v>
      </c>
      <c r="L37" s="15" t="n">
        <v>116946147528</v>
      </c>
      <c r="M37" s="16" t="n">
        <v>46267</v>
      </c>
      <c r="N37" s="10" t="n">
        <v>37.78</v>
      </c>
      <c r="O37" s="16" t="n">
        <v>46358</v>
      </c>
      <c r="P37" s="10" t="s">
        <v>297</v>
      </c>
      <c r="Q37" s="10" t="n">
        <v>0.86</v>
      </c>
      <c r="R37" s="10" t="n">
        <v>-1.2</v>
      </c>
      <c r="S37" s="10" t="n">
        <v>9.32</v>
      </c>
      <c r="T37" s="10" t="n">
        <v>6.01</v>
      </c>
      <c r="U37" s="10" t="n">
        <v>0.06</v>
      </c>
      <c r="V37" s="10" t="n">
        <v>39.36</v>
      </c>
      <c r="W37" s="10" t="n">
        <v>86.33</v>
      </c>
      <c r="X37" s="10" t="n">
        <v>48.22</v>
      </c>
      <c r="Y37" s="10"/>
      <c r="Z37" s="10"/>
      <c r="AA37" s="10"/>
      <c r="AB37" s="10"/>
      <c r="AC37" s="10" t="n">
        <v>34.72</v>
      </c>
      <c r="AD37" s="10" t="n">
        <v>-13.06</v>
      </c>
      <c r="AE37" s="10" t="n">
        <v>55.9</v>
      </c>
      <c r="AF37" s="10" t="n">
        <v>10.62</v>
      </c>
      <c r="AG37" s="10" t="n">
        <v>51.84</v>
      </c>
      <c r="AH37" s="10" t="s">
        <v>396</v>
      </c>
      <c r="AI37" s="10" t="n">
        <v>-1.2</v>
      </c>
      <c r="AJ37" s="10" t="n">
        <v>57.35</v>
      </c>
      <c r="AK37" s="10"/>
      <c r="AL37" s="10" t="n">
        <v>35.1</v>
      </c>
      <c r="AM37" s="10" t="n">
        <v>-20.07</v>
      </c>
      <c r="AN37" s="10" t="n">
        <v>-48.06</v>
      </c>
      <c r="AO37" s="10" t="n">
        <v>113.39</v>
      </c>
      <c r="AP37" s="10" t="n">
        <v>2.2</v>
      </c>
      <c r="AQ37" s="10" t="n">
        <v>5.49</v>
      </c>
      <c r="AR37" s="10" t="n">
        <v>300</v>
      </c>
      <c r="AS37" s="16" t="n">
        <v>46275</v>
      </c>
      <c r="AT37" s="15" t="n">
        <v>5434647040</v>
      </c>
      <c r="AU37" s="15" t="n">
        <v>3642867968</v>
      </c>
      <c r="AV37" s="10" t="n">
        <v>67.03</v>
      </c>
      <c r="AW37" s="15" t="n">
        <v>-1090797952</v>
      </c>
      <c r="AX37" s="15" t="n">
        <v>1739526656</v>
      </c>
      <c r="AY37" s="10" t="n">
        <v>32.01</v>
      </c>
      <c r="AZ37" s="15" t="n">
        <v>-419119872</v>
      </c>
      <c r="BA37" s="10" t="n">
        <v>182.62</v>
      </c>
      <c r="BB37" s="10" t="n">
        <v>81.14</v>
      </c>
      <c r="BC37" s="17" t="n">
        <f aca="false">IF(AND(ISNUMBER(O37),ISNUMBER(AS37)),O37-AS37,"")</f>
        <v>83</v>
      </c>
      <c r="BD37" s="10" t="n">
        <f aca="false">IF(OR(ISNUMBER(SEARCH("ETF",H37)),AND(F37="",AO37="")),1,0)</f>
        <v>0</v>
      </c>
      <c r="BE37" s="17" t="n">
        <f aca="false">IF(ISNUMBER(L37),IF(L37&gt;=Parameters!$B$3,2,IF(L37&gt;=Parameters!$B$4,1,0)),0)+IF(ISNUMBER(AW37),IF(AW37&gt;0,IF(AND(ISNUMBER(AM37),AM37&gt;=Parameters!$B$5),2,1),0),0)+IF(ISNUMBER(AX37),IF(AND(AX37&gt;0,ISNUMBER(AY37),AY37&gt;=Parameters!$B$6),1,0),0)+IF(ISNUMBER(AO37),IF(AND(AO37&gt;0,AO37&lt;=Parameters!$B$7),1,0),0)+IF(ISNUMBER(F37),IF(F37&gt;=Parameters!$B$8,1,0),0)</f>
        <v>3</v>
      </c>
      <c r="BF37" s="10" t="str">
        <f aca="false">IF(BD37=1,"ETF",IF(OR(AND(ISNUMBER(L37),L37&gt;=Parameters!$B$10),BE37&gt;=Parameters!$B$9),"Established","Early"))</f>
        <v>Early</v>
      </c>
      <c r="BG37" s="10" t="n">
        <f aca="false">IF(LEFT(AH37,6)="Golden",2,IF(LEFT(AH37,5)="Death",-2,0))</f>
        <v>2</v>
      </c>
      <c r="BH37" s="10" t="n">
        <f aca="false">IF(ISNUMBER(AG37),IF(AG37&gt;Parameters!$B$12,2,IF(AG37&gt;0,1,IF(AG37&gt;=Parameters!$B$13,-1,-2))),0)</f>
        <v>2</v>
      </c>
      <c r="BI37" s="10" t="n">
        <f aca="false">IF(ISNUMBER(AF37),IF(AND(AF37&gt;=Parameters!$B$14,AF37&lt;=Parameters!$B$15),1,IF(OR(AF37&gt;Parameters!$B$16,AF37&lt;Parameters!$B$17),-1,0)),0)</f>
        <v>0</v>
      </c>
      <c r="BJ37" s="10" t="n">
        <f aca="false">IF(ISNUMBER(AE37),IF(AND(AE37&gt;=Parameters!$B$18,AE37&lt;=Parameters!$B$19),1,IF(OR(AE37&gt;Parameters!$B$20,AE37&lt;Parameters!$B$21),-1,0)),0)</f>
        <v>1</v>
      </c>
      <c r="BK37" s="10" t="n">
        <f aca="false">IF(ISNUMBER(E37),IF(E37&gt;Parameters!$B$22,1,IF(E37&lt;Parameters!$B$23,-1,0)),0)</f>
        <v>1</v>
      </c>
      <c r="BL37" s="10" t="n">
        <f aca="false">IF(ISNUMBER(C37),IF(C37&gt;=Parameters!$B$24,1,IF(C37&lt;=Parameters!$B$25,-1,0)),0)</f>
        <v>1</v>
      </c>
      <c r="BM37" s="10" t="n">
        <f aca="false">IF(ISNUMBER(AJ37),IF(AND(AJ37&gt;Parameters!$B$26,ISNUMBER(U37)),IF(U37&lt;0,-1,1),0),0)</f>
        <v>1</v>
      </c>
      <c r="BN37" s="10" t="n">
        <f aca="false">IF(ISNUMBER(AD37),IF(AD37&gt;Parameters!$B$27,1,IF(AD37&lt;Parameters!$B$28,-1,0)),0)</f>
        <v>0</v>
      </c>
      <c r="BO37" s="17" t="n">
        <f aca="false">BG37+BH37+BI37+BJ37+BK37+BL37+BM37+BN37</f>
        <v>8</v>
      </c>
      <c r="BP37" s="10" t="n">
        <f aca="false">IF(ISNUMBER(F37),IF(F37&gt;=Parameters!$B$30,2,IF(F37&gt;=Parameters!$B$31,1,IF(F37&lt;=Parameters!$B$32,-1,0))),0)</f>
        <v>0</v>
      </c>
      <c r="BQ37" s="10" t="n">
        <f aca="false">IF(ISNUMBER(AK37),IF(AK37&gt;Parameters!$B$33,1,IF(AK37&lt;0,-1,0)),0)</f>
        <v>0</v>
      </c>
      <c r="BR37" s="10" t="n">
        <f aca="false">IF(ISNUMBER(AL37),IF(AL37&gt;Parameters!$B$34,1,IF(AL37&lt;0,-1,0)),0)</f>
        <v>1</v>
      </c>
      <c r="BS37" s="10" t="n">
        <f aca="false">IF(ISNUMBER(AP37),IF(AND(AP37&gt;0,AP37&lt;=Parameters!$B$35),1,IF(AP37&gt;Parameters!$B$36,-1,0)),0)</f>
        <v>0</v>
      </c>
      <c r="BT37" s="10" t="n">
        <f aca="false">IF(ISNUMBER(AY37),IF(AY37&gt;Parameters!$B$37,1,IF(AY37&lt;0,-1,0)),0)</f>
        <v>1</v>
      </c>
      <c r="BU37" s="10" t="n">
        <f aca="false">IF(ISNUMBER(AZ37),IF(AZ37&gt;0,1,0),0)</f>
        <v>0</v>
      </c>
      <c r="BV37" s="10" t="n">
        <f aca="false">IF(ISNUMBER(AL37),IF(AL37&gt;Parameters!$B$39,2,IF(AL37&gt;Parameters!$B$40,1,IF(AL37&lt;0,-2,IF(AL37&lt;Parameters!$B$41,-1,0)))),0)</f>
        <v>2</v>
      </c>
      <c r="BW37" s="10" t="n">
        <f aca="false">IF(ISNUMBER(AV37),IF(AV37&gt;Parameters!$B$42,1,IF(AV37&lt;Parameters!$B$43,-1,0)),0)</f>
        <v>1</v>
      </c>
      <c r="BX37" s="10" t="n">
        <f aca="false">IF(AND(ISNUMBER(AX37),AX37&gt;0),1,IF(AND(ISNUMBER(AY37),AY37&lt;Parameters!$B$44),-1,0))</f>
        <v>1</v>
      </c>
      <c r="BY37" s="10" t="n">
        <f aca="false">IF(ISNUMBER(AW37),IF(AW37&gt;0,1,0),0)</f>
        <v>0</v>
      </c>
      <c r="BZ37" s="10" t="n">
        <f aca="false">IF(ISNUMBER(AQ37),IF(AQ37&gt;Parameters!$B$46,-2,IF(AQ37&gt;Parameters!$B$45,-1,0)),0)</f>
        <v>0</v>
      </c>
      <c r="CA37" s="10" t="n">
        <f aca="false">IF(ISNUMBER(F37),IF(F37&gt;=Parameters!$B$47,1,IF(F37&lt;=Parameters!$B$48,-1,0)),0)</f>
        <v>0</v>
      </c>
      <c r="CB37" s="17" t="n">
        <f aca="false">IF(BF37="Established",BP37+BQ37+BR37+BS37+BT37+BU37,IF(BF37="Early",BV37+BW37+BX37+BY37+BZ37+CA37,0))</f>
        <v>4</v>
      </c>
      <c r="CC37" s="18" t="n">
        <f aca="false">IF(BF37="Established",BO37+CB37,IF(BF37="Early",BO37+Parameters!$B$50*CB37,BO37))</f>
        <v>10</v>
      </c>
      <c r="CD37" s="17" t="n">
        <f aca="false">IF(BF37="Established",IF(CC37&gt;=Parameters!$B$51,6,IF(CC37&gt;=Parameters!$B$52,5,IF(CC37&gt;=Parameters!$B$53,4,IF(CC37&gt;=Parameters!$B$54,3,IF(CC37&gt;=Parameters!$B$55,2,1))))),IF(BF37="Early",IF(CC37&gt;=Parameters!$B$56,5,IF(CC37&gt;=Parameters!$B$57,4,IF(CC37&gt;=Parameters!$B$58,3,IF(CC37&gt;=Parameters!$B$59,2,1)))),IF(CC37&gt;=Parameters!$B$60,6,IF(CC37&gt;=Parameters!$B$61,5,IF(CC37&gt;=Parameters!$B$62,4,IF(CC37&gt;=Parameters!$B$63,3,IF(CC37&gt;=Parameters!$B$64,2,1)))))))</f>
        <v>5</v>
      </c>
      <c r="CE37" s="10" t="n">
        <f aca="false">IF(AND(ISNUMBER(AR37),AR37&lt;Parameters!$B$66),1,0)</f>
        <v>0</v>
      </c>
      <c r="CF37" s="10" t="n">
        <f aca="false">IF(AND(LEFT(AH37,5)="Death",ISNUMBER(AG37)),IF(BF37="Early",IF(AND(AG37&lt;Parameters!$B$70,ISNUMBER(U37),U37&lt;Parameters!$B$71),1,0),IF(AND(AG37&lt;Parameters!$B$67,OR(AND(ISNUMBER(U37),U37&lt;Parameters!$B$68),AND(ISNUMBER(V37),V37&lt;Parameters!$B$69))),1,0)),0)</f>
        <v>0</v>
      </c>
      <c r="CG37" s="10" t="n">
        <f aca="false">IF(AND(ISNUMBER(AG37),AG37&lt;0),1,0)</f>
        <v>0</v>
      </c>
      <c r="CH37" s="10" t="n">
        <f aca="false">IF(OR(AND(ISNUMBER(U37),U37&gt;Parameters!$B$74),AND(ISNUMBER(AF37),AF37&gt;Parameters!$B$75),AND(ISNUMBER(AE37),AE37&gt;Parameters!$B$76)),1,0)</f>
        <v>0</v>
      </c>
      <c r="CI37" s="10" t="n">
        <f aca="false">IF(AND(ISNUMBER(BC37),BC37&gt;=0,BC37&lt;=Parameters!$B$77),1,0)</f>
        <v>0</v>
      </c>
      <c r="CJ37" s="17" t="n">
        <f aca="false">IF(CF37=1,1,MIN(CD37,IF(CE37=1,3,6),IF(CG37=1,IF(BF37="Early",Parameters!$B$73,Parameters!$B$72),6),IF(CH37=1,3,6),IF(CI37=1,3,6)))</f>
        <v>5</v>
      </c>
      <c r="CK37" s="10" t="str">
        <f aca="false">INDEX(Parameters!$F$2:$F$7,CJ37)</f>
        <v>Buy</v>
      </c>
      <c r="CL37" s="10" t="str">
        <f aca="false">IF(CF37=1,"Hard sell: breakdown; ","")&amp;IF(CE37=1,"Insufficient history; ","")&amp;IF(AND(CF37=0,CG37=1),"Below 200D; ","")&amp;IF(CH37=1,"Extended - wait for pullback; ","")&amp;IF(CI37=1,"Earnings within "&amp;Parameters!$B$77&amp;"d; ","")</f>
        <v/>
      </c>
    </row>
    <row r="38" customFormat="false" ht="15" hidden="false" customHeight="false" outlineLevel="0" collapsed="false">
      <c r="A38" s="10" t="s">
        <v>397</v>
      </c>
      <c r="B38" s="10" t="n">
        <v>6</v>
      </c>
      <c r="C38" s="10" t="n">
        <v>4</v>
      </c>
      <c r="D38" s="10" t="n">
        <v>48.9</v>
      </c>
      <c r="E38" s="10" t="n">
        <v>-10.5</v>
      </c>
      <c r="F38" s="10" t="n">
        <v>10</v>
      </c>
      <c r="G38" s="10" t="s">
        <v>398</v>
      </c>
      <c r="H38" s="10" t="s">
        <v>328</v>
      </c>
      <c r="I38" s="10" t="n">
        <v>331.46</v>
      </c>
      <c r="J38" s="10" t="s">
        <v>295</v>
      </c>
      <c r="K38" s="10" t="s">
        <v>399</v>
      </c>
      <c r="L38" s="15" t="n">
        <v>4043827829570</v>
      </c>
      <c r="M38" s="16" t="n">
        <v>46225</v>
      </c>
      <c r="N38" s="10" t="n">
        <v>214.14</v>
      </c>
      <c r="O38" s="16" t="n">
        <v>46316</v>
      </c>
      <c r="P38" s="10" t="s">
        <v>297</v>
      </c>
      <c r="Q38" s="10" t="n">
        <v>0.24</v>
      </c>
      <c r="R38" s="10" t="n">
        <v>-2.28</v>
      </c>
      <c r="S38" s="10" t="n">
        <v>-1.68</v>
      </c>
      <c r="T38" s="10" t="n">
        <v>-3.08</v>
      </c>
      <c r="U38" s="10" t="n">
        <v>-3.59</v>
      </c>
      <c r="V38" s="10" t="n">
        <v>-6.99</v>
      </c>
      <c r="W38" s="10" t="n">
        <v>7.37</v>
      </c>
      <c r="X38" s="10" t="n">
        <v>38.32</v>
      </c>
      <c r="Y38" s="10"/>
      <c r="Z38" s="10"/>
      <c r="AA38" s="10"/>
      <c r="AB38" s="10"/>
      <c r="AC38" s="10" t="n">
        <v>-11.63</v>
      </c>
      <c r="AD38" s="10" t="n">
        <v>-18.88</v>
      </c>
      <c r="AE38" s="10" t="n">
        <v>40.18</v>
      </c>
      <c r="AF38" s="10" t="n">
        <v>-4.65</v>
      </c>
      <c r="AG38" s="10" t="n">
        <v>-1.53</v>
      </c>
      <c r="AH38" s="10" t="s">
        <v>301</v>
      </c>
      <c r="AI38" s="10" t="n">
        <v>-0.9</v>
      </c>
      <c r="AJ38" s="10" t="n">
        <v>-6.36</v>
      </c>
      <c r="AK38" s="10" t="n">
        <v>297.9</v>
      </c>
      <c r="AL38" s="10" t="n">
        <v>24.2</v>
      </c>
      <c r="AM38" s="10" t="n">
        <v>54.75</v>
      </c>
      <c r="AN38" s="10" t="n">
        <v>48.68</v>
      </c>
      <c r="AO38" s="10" t="n">
        <v>22.23</v>
      </c>
      <c r="AP38" s="10" t="n">
        <v>0.06</v>
      </c>
      <c r="AQ38" s="10" t="n">
        <v>0.67</v>
      </c>
      <c r="AR38" s="10" t="n">
        <v>300</v>
      </c>
      <c r="AS38" s="16" t="n">
        <v>46275</v>
      </c>
      <c r="AT38" s="15" t="n">
        <v>445865984000</v>
      </c>
      <c r="AU38" s="15" t="n">
        <v>271517007872</v>
      </c>
      <c r="AV38" s="10" t="n">
        <v>60.9</v>
      </c>
      <c r="AW38" s="15" t="n">
        <v>244118994944</v>
      </c>
      <c r="AX38" s="15" t="n">
        <v>22665000960</v>
      </c>
      <c r="AY38" s="10" t="n">
        <v>5.08</v>
      </c>
      <c r="AZ38" s="15" t="n">
        <v>121682993152</v>
      </c>
      <c r="BA38" s="10" t="n">
        <v>40.54</v>
      </c>
      <c r="BB38" s="10" t="n">
        <v>55.35</v>
      </c>
      <c r="BC38" s="17" t="n">
        <f aca="false">IF(AND(ISNUMBER(O38),ISNUMBER(AS38)),O38-AS38,"")</f>
        <v>41</v>
      </c>
      <c r="BD38" s="10" t="n">
        <f aca="false">IF(OR(ISNUMBER(SEARCH("ETF",H38)),AND(F38="",AO38="")),1,0)</f>
        <v>0</v>
      </c>
      <c r="BE38" s="17" t="n">
        <f aca="false">IF(ISNUMBER(L38),IF(L38&gt;=Parameters!$B$3,2,IF(L38&gt;=Parameters!$B$4,1,0)),0)+IF(ISNUMBER(AW38),IF(AW38&gt;0,IF(AND(ISNUMBER(AM38),AM38&gt;=Parameters!$B$5),2,1),0),0)+IF(ISNUMBER(AX38),IF(AND(AX38&gt;0,ISNUMBER(AY38),AY38&gt;=Parameters!$B$6),1,0),0)+IF(ISNUMBER(AO38),IF(AND(AO38&gt;0,AO38&lt;=Parameters!$B$7),1,0),0)+IF(ISNUMBER(F38),IF(F38&gt;=Parameters!$B$8,1,0),0)</f>
        <v>7</v>
      </c>
      <c r="BF38" s="10" t="str">
        <f aca="false">IF(BD38=1,"ETF",IF(OR(AND(ISNUMBER(L38),L38&gt;=Parameters!$B$10),BE38&gt;=Parameters!$B$9),"Established","Early"))</f>
        <v>Established</v>
      </c>
      <c r="BG38" s="10" t="n">
        <f aca="false">IF(LEFT(AH38,6)="Golden",2,IF(LEFT(AH38,5)="Death",-2,0))</f>
        <v>2</v>
      </c>
      <c r="BH38" s="10" t="n">
        <f aca="false">IF(ISNUMBER(AG38),IF(AG38&gt;Parameters!$B$12,2,IF(AG38&gt;0,1,IF(AG38&gt;=Parameters!$B$13,-1,-2))),0)</f>
        <v>-1</v>
      </c>
      <c r="BI38" s="10" t="n">
        <f aca="false">IF(ISNUMBER(AF38),IF(AND(AF38&gt;=Parameters!$B$14,AF38&lt;=Parameters!$B$15),1,IF(OR(AF38&gt;Parameters!$B$16,AF38&lt;Parameters!$B$17),-1,0)),0)</f>
        <v>0</v>
      </c>
      <c r="BJ38" s="10" t="n">
        <f aca="false">IF(ISNUMBER(AE38),IF(AND(AE38&gt;=Parameters!$B$18,AE38&lt;=Parameters!$B$19),1,IF(OR(AE38&gt;Parameters!$B$20,AE38&lt;Parameters!$B$21),-1,0)),0)</f>
        <v>0</v>
      </c>
      <c r="BK38" s="10" t="n">
        <f aca="false">IF(ISNUMBER(E38),IF(E38&gt;Parameters!$B$22,1,IF(E38&lt;Parameters!$B$23,-1,0)),0)</f>
        <v>-1</v>
      </c>
      <c r="BL38" s="10" t="n">
        <f aca="false">IF(ISNUMBER(C38),IF(C38&gt;=Parameters!$B$24,1,IF(C38&lt;=Parameters!$B$25,-1,0)),0)</f>
        <v>0</v>
      </c>
      <c r="BM38" s="10" t="n">
        <f aca="false">IF(ISNUMBER(AJ38),IF(AND(AJ38&gt;Parameters!$B$26,ISNUMBER(U38)),IF(U38&lt;0,-1,1),0),0)</f>
        <v>0</v>
      </c>
      <c r="BN38" s="10" t="n">
        <f aca="false">IF(ISNUMBER(AD38),IF(AD38&gt;Parameters!$B$27,1,IF(AD38&lt;Parameters!$B$28,-1,0)),0)</f>
        <v>0</v>
      </c>
      <c r="BO38" s="17" t="n">
        <f aca="false">BG38+BH38+BI38+BJ38+BK38+BL38+BM38+BN38</f>
        <v>0</v>
      </c>
      <c r="BP38" s="10" t="n">
        <f aca="false">IF(ISNUMBER(F38),IF(F38&gt;=Parameters!$B$30,2,IF(F38&gt;=Parameters!$B$31,1,IF(F38&lt;=Parameters!$B$32,-1,0))),0)</f>
        <v>2</v>
      </c>
      <c r="BQ38" s="10" t="n">
        <f aca="false">IF(ISNUMBER(AK38),IF(AK38&gt;Parameters!$B$33,1,IF(AK38&lt;0,-1,0)),0)</f>
        <v>1</v>
      </c>
      <c r="BR38" s="10" t="n">
        <f aca="false">IF(ISNUMBER(AL38),IF(AL38&gt;Parameters!$B$34,1,IF(AL38&lt;0,-1,0)),0)</f>
        <v>1</v>
      </c>
      <c r="BS38" s="10" t="n">
        <f aca="false">IF(ISNUMBER(AP38),IF(AND(AP38&gt;0,AP38&lt;=Parameters!$B$35),1,IF(AP38&gt;Parameters!$B$36,-1,0)),0)</f>
        <v>1</v>
      </c>
      <c r="BT38" s="10" t="n">
        <f aca="false">IF(ISNUMBER(AY38),IF(AY38&gt;Parameters!$B$37,1,IF(AY38&lt;0,-1,0)),0)</f>
        <v>0</v>
      </c>
      <c r="BU38" s="10" t="n">
        <f aca="false">IF(ISNUMBER(AZ38),IF(AZ38&gt;0,1,0),0)</f>
        <v>1</v>
      </c>
      <c r="BV38" s="10" t="n">
        <f aca="false">IF(ISNUMBER(AL38),IF(AL38&gt;Parameters!$B$39,2,IF(AL38&gt;Parameters!$B$40,1,IF(AL38&lt;0,-2,IF(AL38&lt;Parameters!$B$41,-1,0)))),0)</f>
        <v>1</v>
      </c>
      <c r="BW38" s="10" t="n">
        <f aca="false">IF(ISNUMBER(AV38),IF(AV38&gt;Parameters!$B$42,1,IF(AV38&lt;Parameters!$B$43,-1,0)),0)</f>
        <v>1</v>
      </c>
      <c r="BX38" s="10" t="n">
        <f aca="false">IF(AND(ISNUMBER(AX38),AX38&gt;0),1,IF(AND(ISNUMBER(AY38),AY38&lt;Parameters!$B$44),-1,0))</f>
        <v>1</v>
      </c>
      <c r="BY38" s="10" t="n">
        <f aca="false">IF(ISNUMBER(AW38),IF(AW38&gt;0,1,0),0)</f>
        <v>1</v>
      </c>
      <c r="BZ38" s="10" t="n">
        <f aca="false">IF(ISNUMBER(AQ38),IF(AQ38&gt;Parameters!$B$46,-2,IF(AQ38&gt;Parameters!$B$45,-1,0)),0)</f>
        <v>0</v>
      </c>
      <c r="CA38" s="10" t="n">
        <f aca="false">IF(ISNUMBER(F38),IF(F38&gt;=Parameters!$B$47,1,IF(F38&lt;=Parameters!$B$48,-1,0)),0)</f>
        <v>1</v>
      </c>
      <c r="CB38" s="17" t="n">
        <f aca="false">IF(BF38="Established",BP38+BQ38+BR38+BS38+BT38+BU38,IF(BF38="Early",BV38+BW38+BX38+BY38+BZ38+CA38,0))</f>
        <v>6</v>
      </c>
      <c r="CC38" s="18" t="n">
        <f aca="false">IF(BF38="Established",BO38+CB38,IF(BF38="Early",BO38+Parameters!$B$50*CB38,BO38))</f>
        <v>6</v>
      </c>
      <c r="CD38" s="17" t="n">
        <f aca="false">IF(BF38="Established",IF(CC38&gt;=Parameters!$B$51,6,IF(CC38&gt;=Parameters!$B$52,5,IF(CC38&gt;=Parameters!$B$53,4,IF(CC38&gt;=Parameters!$B$54,3,IF(CC38&gt;=Parameters!$B$55,2,1))))),IF(BF38="Early",IF(CC38&gt;=Parameters!$B$56,5,IF(CC38&gt;=Parameters!$B$57,4,IF(CC38&gt;=Parameters!$B$58,3,IF(CC38&gt;=Parameters!$B$59,2,1)))),IF(CC38&gt;=Parameters!$B$60,6,IF(CC38&gt;=Parameters!$B$61,5,IF(CC38&gt;=Parameters!$B$62,4,IF(CC38&gt;=Parameters!$B$63,3,IF(CC38&gt;=Parameters!$B$64,2,1)))))))</f>
        <v>4</v>
      </c>
      <c r="CE38" s="10" t="n">
        <f aca="false">IF(AND(ISNUMBER(AR38),AR38&lt;Parameters!$B$66),1,0)</f>
        <v>0</v>
      </c>
      <c r="CF38" s="10" t="n">
        <f aca="false">IF(AND(LEFT(AH38,5)="Death",ISNUMBER(AG38)),IF(BF38="Early",IF(AND(AG38&lt;Parameters!$B$70,ISNUMBER(U38),U38&lt;Parameters!$B$71),1,0),IF(AND(AG38&lt;Parameters!$B$67,OR(AND(ISNUMBER(U38),U38&lt;Parameters!$B$68),AND(ISNUMBER(V38),V38&lt;Parameters!$B$69))),1,0)),0)</f>
        <v>0</v>
      </c>
      <c r="CG38" s="10" t="n">
        <f aca="false">IF(AND(ISNUMBER(AG38),AG38&lt;0),1,0)</f>
        <v>1</v>
      </c>
      <c r="CH38" s="10" t="n">
        <f aca="false">IF(OR(AND(ISNUMBER(U38),U38&gt;Parameters!$B$74),AND(ISNUMBER(AF38),AF38&gt;Parameters!$B$75),AND(ISNUMBER(AE38),AE38&gt;Parameters!$B$76)),1,0)</f>
        <v>0</v>
      </c>
      <c r="CI38" s="10" t="n">
        <f aca="false">IF(AND(ISNUMBER(BC38),BC38&gt;=0,BC38&lt;=Parameters!$B$77),1,0)</f>
        <v>0</v>
      </c>
      <c r="CJ38" s="17" t="n">
        <f aca="false">IF(CF38=1,1,MIN(CD38,IF(CE38=1,3,6),IF(CG38=1,IF(BF38="Early",Parameters!$B$73,Parameters!$B$72),6),IF(CH38=1,3,6),IF(CI38=1,3,6)))</f>
        <v>3</v>
      </c>
      <c r="CK38" s="10" t="str">
        <f aca="false">INDEX(Parameters!$F$2:$F$7,CJ38)</f>
        <v>Hold</v>
      </c>
      <c r="CL38" s="10" t="str">
        <f aca="false">IF(CF38=1,"Hard sell: breakdown; ","")&amp;IF(CE38=1,"Insufficient history; ","")&amp;IF(AND(CF38=0,CG38=1),"Below 200D; ","")&amp;IF(CH38=1,"Extended - wait for pullback; ","")&amp;IF(CI38=1,"Earnings within "&amp;Parameters!$B$77&amp;"d; ","")</f>
        <v>Below 200D; </v>
      </c>
    </row>
    <row r="39" customFormat="false" ht="15" hidden="false" customHeight="false" outlineLevel="0" collapsed="false">
      <c r="A39" s="10" t="s">
        <v>400</v>
      </c>
      <c r="B39" s="10" t="n">
        <v>6</v>
      </c>
      <c r="C39" s="10" t="n">
        <v>5</v>
      </c>
      <c r="D39" s="10" t="n">
        <v>46.4</v>
      </c>
      <c r="E39" s="10" t="n">
        <v>-3.9</v>
      </c>
      <c r="F39" s="10" t="n">
        <v>9</v>
      </c>
      <c r="G39" s="10" t="s">
        <v>401</v>
      </c>
      <c r="H39" s="10" t="s">
        <v>304</v>
      </c>
      <c r="I39" s="10" t="n">
        <v>114.05</v>
      </c>
      <c r="J39" s="10" t="s">
        <v>295</v>
      </c>
      <c r="K39" s="10" t="s">
        <v>305</v>
      </c>
      <c r="L39" s="15" t="n">
        <v>103646204431</v>
      </c>
      <c r="M39" s="16" t="n">
        <v>46232</v>
      </c>
      <c r="N39" s="10" t="n">
        <v>44.19</v>
      </c>
      <c r="O39" s="16" t="n">
        <v>46323</v>
      </c>
      <c r="P39" s="10" t="s">
        <v>297</v>
      </c>
      <c r="Q39" s="10" t="n">
        <v>-1.07</v>
      </c>
      <c r="R39" s="10" t="n">
        <v>-1.76</v>
      </c>
      <c r="S39" s="10" t="n">
        <v>6.6</v>
      </c>
      <c r="T39" s="10" t="n">
        <v>5.08</v>
      </c>
      <c r="U39" s="10" t="n">
        <v>20.84</v>
      </c>
      <c r="V39" s="10" t="n">
        <v>32.06</v>
      </c>
      <c r="W39" s="10" t="n">
        <v>44.94</v>
      </c>
      <c r="X39" s="10" t="n">
        <v>-3.76</v>
      </c>
      <c r="Y39" s="10"/>
      <c r="Z39" s="10"/>
      <c r="AA39" s="10"/>
      <c r="AB39" s="10"/>
      <c r="AC39" s="10" t="n">
        <v>27.42</v>
      </c>
      <c r="AD39" s="10" t="n">
        <v>-25.87</v>
      </c>
      <c r="AE39" s="10" t="n">
        <v>57.33</v>
      </c>
      <c r="AF39" s="10" t="n">
        <v>10.33</v>
      </c>
      <c r="AG39" s="10" t="n">
        <v>19.88</v>
      </c>
      <c r="AH39" s="10" t="s">
        <v>402</v>
      </c>
      <c r="AI39" s="10" t="n">
        <v>1.1</v>
      </c>
      <c r="AJ39" s="10" t="n">
        <v>13.72</v>
      </c>
      <c r="AK39" s="10" t="n">
        <v>45.3</v>
      </c>
      <c r="AL39" s="10" t="n">
        <v>32.3</v>
      </c>
      <c r="AM39" s="10" t="n">
        <v>42.01</v>
      </c>
      <c r="AN39" s="10" t="n">
        <v>23.62</v>
      </c>
      <c r="AO39" s="10" t="n">
        <v>35.53</v>
      </c>
      <c r="AP39" s="10" t="n">
        <v>1.27</v>
      </c>
      <c r="AQ39" s="10" t="n">
        <v>4.23</v>
      </c>
      <c r="AR39" s="10" t="n">
        <v>300</v>
      </c>
      <c r="AS39" s="16" t="n">
        <v>46275</v>
      </c>
      <c r="AT39" s="15" t="n">
        <v>4931999744</v>
      </c>
      <c r="AU39" s="15" t="n">
        <v>4531999744</v>
      </c>
      <c r="AV39" s="10" t="n">
        <v>91.89</v>
      </c>
      <c r="AW39" s="15" t="n">
        <v>2072000000</v>
      </c>
      <c r="AX39" s="15" t="n">
        <v>7592000000</v>
      </c>
      <c r="AY39" s="10" t="n">
        <v>153.93</v>
      </c>
      <c r="AZ39" s="15" t="n">
        <v>979998720</v>
      </c>
      <c r="BA39" s="10" t="n">
        <v>79.56</v>
      </c>
      <c r="BB39" s="10" t="n">
        <v>55.94</v>
      </c>
      <c r="BC39" s="17" t="n">
        <f aca="false">IF(AND(ISNUMBER(O39),ISNUMBER(AS39)),O39-AS39,"")</f>
        <v>48</v>
      </c>
      <c r="BD39" s="10" t="n">
        <f aca="false">IF(OR(ISNUMBER(SEARCH("ETF",H39)),AND(F39="",AO39="")),1,0)</f>
        <v>0</v>
      </c>
      <c r="BE39" s="17" t="n">
        <f aca="false">IF(ISNUMBER(L39),IF(L39&gt;=Parameters!$B$3,2,IF(L39&gt;=Parameters!$B$4,1,0)),0)+IF(ISNUMBER(AW39),IF(AW39&gt;0,IF(AND(ISNUMBER(AM39),AM39&gt;=Parameters!$B$5),2,1),0),0)+IF(ISNUMBER(AX39),IF(AND(AX39&gt;0,ISNUMBER(AY39),AY39&gt;=Parameters!$B$6),1,0),0)+IF(ISNUMBER(AO39),IF(AND(AO39&gt;0,AO39&lt;=Parameters!$B$7),1,0),0)+IF(ISNUMBER(F39),IF(F39&gt;=Parameters!$B$8,1,0),0)</f>
        <v>7</v>
      </c>
      <c r="BF39" s="10" t="str">
        <f aca="false">IF(BD39=1,"ETF",IF(OR(AND(ISNUMBER(L39),L39&gt;=Parameters!$B$10),BE39&gt;=Parameters!$B$9),"Established","Early"))</f>
        <v>Established</v>
      </c>
      <c r="BG39" s="10" t="n">
        <f aca="false">IF(LEFT(AH39,6)="Golden",2,IF(LEFT(AH39,5)="Death",-2,0))</f>
        <v>2</v>
      </c>
      <c r="BH39" s="10" t="n">
        <f aca="false">IF(ISNUMBER(AG39),IF(AG39&gt;Parameters!$B$12,2,IF(AG39&gt;0,1,IF(AG39&gt;=Parameters!$B$13,-1,-2))),0)</f>
        <v>2</v>
      </c>
      <c r="BI39" s="10" t="n">
        <f aca="false">IF(ISNUMBER(AF39),IF(AND(AF39&gt;=Parameters!$B$14,AF39&lt;=Parameters!$B$15),1,IF(OR(AF39&gt;Parameters!$B$16,AF39&lt;Parameters!$B$17),-1,0)),0)</f>
        <v>0</v>
      </c>
      <c r="BJ39" s="10" t="n">
        <f aca="false">IF(ISNUMBER(AE39),IF(AND(AE39&gt;=Parameters!$B$18,AE39&lt;=Parameters!$B$19),1,IF(OR(AE39&gt;Parameters!$B$20,AE39&lt;Parameters!$B$21),-1,0)),0)</f>
        <v>1</v>
      </c>
      <c r="BK39" s="10" t="n">
        <f aca="false">IF(ISNUMBER(E39),IF(E39&gt;Parameters!$B$22,1,IF(E39&lt;Parameters!$B$23,-1,0)),0)</f>
        <v>0</v>
      </c>
      <c r="BL39" s="10" t="n">
        <f aca="false">IF(ISNUMBER(C39),IF(C39&gt;=Parameters!$B$24,1,IF(C39&lt;=Parameters!$B$25,-1,0)),0)</f>
        <v>0</v>
      </c>
      <c r="BM39" s="10" t="n">
        <f aca="false">IF(ISNUMBER(AJ39),IF(AND(AJ39&gt;Parameters!$B$26,ISNUMBER(U39)),IF(U39&lt;0,-1,1),0),0)</f>
        <v>1</v>
      </c>
      <c r="BN39" s="10" t="n">
        <f aca="false">IF(ISNUMBER(AD39),IF(AD39&gt;Parameters!$B$27,1,IF(AD39&lt;Parameters!$B$28,-1,0)),0)</f>
        <v>0</v>
      </c>
      <c r="BO39" s="17" t="n">
        <f aca="false">BG39+BH39+BI39+BJ39+BK39+BL39+BM39+BN39</f>
        <v>6</v>
      </c>
      <c r="BP39" s="10" t="n">
        <f aca="false">IF(ISNUMBER(F39),IF(F39&gt;=Parameters!$B$30,2,IF(F39&gt;=Parameters!$B$31,1,IF(F39&lt;=Parameters!$B$32,-1,0))),0)</f>
        <v>2</v>
      </c>
      <c r="BQ39" s="10" t="n">
        <f aca="false">IF(ISNUMBER(AK39),IF(AK39&gt;Parameters!$B$33,1,IF(AK39&lt;0,-1,0)),0)</f>
        <v>1</v>
      </c>
      <c r="BR39" s="10" t="n">
        <f aca="false">IF(ISNUMBER(AL39),IF(AL39&gt;Parameters!$B$34,1,IF(AL39&lt;0,-1,0)),0)</f>
        <v>1</v>
      </c>
      <c r="BS39" s="10" t="n">
        <f aca="false">IF(ISNUMBER(AP39),IF(AND(AP39&gt;0,AP39&lt;=Parameters!$B$35),1,IF(AP39&gt;Parameters!$B$36,-1,0)),0)</f>
        <v>1</v>
      </c>
      <c r="BT39" s="10" t="n">
        <f aca="false">IF(ISNUMBER(AY39),IF(AY39&gt;Parameters!$B$37,1,IF(AY39&lt;0,-1,0)),0)</f>
        <v>1</v>
      </c>
      <c r="BU39" s="10" t="n">
        <f aca="false">IF(ISNUMBER(AZ39),IF(AZ39&gt;0,1,0),0)</f>
        <v>1</v>
      </c>
      <c r="BV39" s="10" t="n">
        <f aca="false">IF(ISNUMBER(AL39),IF(AL39&gt;Parameters!$B$39,2,IF(AL39&gt;Parameters!$B$40,1,IF(AL39&lt;0,-2,IF(AL39&lt;Parameters!$B$41,-1,0)))),0)</f>
        <v>2</v>
      </c>
      <c r="BW39" s="10" t="n">
        <f aca="false">IF(ISNUMBER(AV39),IF(AV39&gt;Parameters!$B$42,1,IF(AV39&lt;Parameters!$B$43,-1,0)),0)</f>
        <v>1</v>
      </c>
      <c r="BX39" s="10" t="n">
        <f aca="false">IF(AND(ISNUMBER(AX39),AX39&gt;0),1,IF(AND(ISNUMBER(AY39),AY39&lt;Parameters!$B$44),-1,0))</f>
        <v>1</v>
      </c>
      <c r="BY39" s="10" t="n">
        <f aca="false">IF(ISNUMBER(AW39),IF(AW39&gt;0,1,0),0)</f>
        <v>1</v>
      </c>
      <c r="BZ39" s="10" t="n">
        <f aca="false">IF(ISNUMBER(AQ39),IF(AQ39&gt;Parameters!$B$46,-2,IF(AQ39&gt;Parameters!$B$45,-1,0)),0)</f>
        <v>0</v>
      </c>
      <c r="CA39" s="10" t="n">
        <f aca="false">IF(ISNUMBER(F39),IF(F39&gt;=Parameters!$B$47,1,IF(F39&lt;=Parameters!$B$48,-1,0)),0)</f>
        <v>1</v>
      </c>
      <c r="CB39" s="17" t="n">
        <f aca="false">IF(BF39="Established",BP39+BQ39+BR39+BS39+BT39+BU39,IF(BF39="Early",BV39+BW39+BX39+BY39+BZ39+CA39,0))</f>
        <v>7</v>
      </c>
      <c r="CC39" s="18" t="n">
        <f aca="false">IF(BF39="Established",BO39+CB39,IF(BF39="Early",BO39+Parameters!$B$50*CB39,BO39))</f>
        <v>13</v>
      </c>
      <c r="CD39" s="17" t="n">
        <f aca="false">IF(BF39="Established",IF(CC39&gt;=Parameters!$B$51,6,IF(CC39&gt;=Parameters!$B$52,5,IF(CC39&gt;=Parameters!$B$53,4,IF(CC39&gt;=Parameters!$B$54,3,IF(CC39&gt;=Parameters!$B$55,2,1))))),IF(BF39="Early",IF(CC39&gt;=Parameters!$B$56,5,IF(CC39&gt;=Parameters!$B$57,4,IF(CC39&gt;=Parameters!$B$58,3,IF(CC39&gt;=Parameters!$B$59,2,1)))),IF(CC39&gt;=Parameters!$B$60,6,IF(CC39&gt;=Parameters!$B$61,5,IF(CC39&gt;=Parameters!$B$62,4,IF(CC39&gt;=Parameters!$B$63,3,IF(CC39&gt;=Parameters!$B$64,2,1)))))))</f>
        <v>6</v>
      </c>
      <c r="CE39" s="10" t="n">
        <f aca="false">IF(AND(ISNUMBER(AR39),AR39&lt;Parameters!$B$66),1,0)</f>
        <v>0</v>
      </c>
      <c r="CF39" s="10" t="n">
        <f aca="false">IF(AND(LEFT(AH39,5)="Death",ISNUMBER(AG39)),IF(BF39="Early",IF(AND(AG39&lt;Parameters!$B$70,ISNUMBER(U39),U39&lt;Parameters!$B$71),1,0),IF(AND(AG39&lt;Parameters!$B$67,OR(AND(ISNUMBER(U39),U39&lt;Parameters!$B$68),AND(ISNUMBER(V39),V39&lt;Parameters!$B$69))),1,0)),0)</f>
        <v>0</v>
      </c>
      <c r="CG39" s="10" t="n">
        <f aca="false">IF(AND(ISNUMBER(AG39),AG39&lt;0),1,0)</f>
        <v>0</v>
      </c>
      <c r="CH39" s="10" t="n">
        <f aca="false">IF(OR(AND(ISNUMBER(U39),U39&gt;Parameters!$B$74),AND(ISNUMBER(AF39),AF39&gt;Parameters!$B$75),AND(ISNUMBER(AE39),AE39&gt;Parameters!$B$76)),1,0)</f>
        <v>0</v>
      </c>
      <c r="CI39" s="10" t="n">
        <f aca="false">IF(AND(ISNUMBER(BC39),BC39&gt;=0,BC39&lt;=Parameters!$B$77),1,0)</f>
        <v>0</v>
      </c>
      <c r="CJ39" s="17" t="n">
        <f aca="false">IF(CF39=1,1,MIN(CD39,IF(CE39=1,3,6),IF(CG39=1,IF(BF39="Early",Parameters!$B$73,Parameters!$B$72),6),IF(CH39=1,3,6),IF(CI39=1,3,6)))</f>
        <v>6</v>
      </c>
      <c r="CK39" s="10" t="str">
        <f aca="false">INDEX(Parameters!$F$2:$F$7,CJ39)</f>
        <v>Strong Buy</v>
      </c>
      <c r="CL39" s="10" t="str">
        <f aca="false">IF(CF39=1,"Hard sell: breakdown; ","")&amp;IF(CE39=1,"Insufficient history; ","")&amp;IF(AND(CF39=0,CG39=1),"Below 200D; ","")&amp;IF(CH39=1,"Extended - wait for pullback; ","")&amp;IF(CI39=1,"Earnings within "&amp;Parameters!$B$77&amp;"d; ","")</f>
        <v/>
      </c>
    </row>
    <row r="40" customFormat="false" ht="15" hidden="false" customHeight="false" outlineLevel="0" collapsed="false">
      <c r="A40" s="10" t="s">
        <v>403</v>
      </c>
      <c r="B40" s="10" t="n">
        <v>6</v>
      </c>
      <c r="C40" s="10" t="n">
        <v>7</v>
      </c>
      <c r="D40" s="10" t="n">
        <v>62</v>
      </c>
      <c r="E40" s="10" t="n">
        <v>3.7</v>
      </c>
      <c r="F40" s="10" t="n">
        <v>5</v>
      </c>
      <c r="G40" s="10" t="s">
        <v>404</v>
      </c>
      <c r="H40" s="10" t="s">
        <v>314</v>
      </c>
      <c r="I40" s="10" t="n">
        <v>182.06</v>
      </c>
      <c r="J40" s="10" t="s">
        <v>295</v>
      </c>
      <c r="K40" s="10" t="s">
        <v>296</v>
      </c>
      <c r="L40" s="15" t="n">
        <v>44992895509</v>
      </c>
      <c r="M40" s="16" t="n">
        <v>46240</v>
      </c>
      <c r="N40" s="10" t="n">
        <v>24.67</v>
      </c>
      <c r="O40" s="16" t="n">
        <v>46331</v>
      </c>
      <c r="P40" s="10" t="s">
        <v>297</v>
      </c>
      <c r="Q40" s="10" t="n">
        <v>2.43</v>
      </c>
      <c r="R40" s="10" t="n">
        <v>0.75</v>
      </c>
      <c r="S40" s="10" t="n">
        <v>-2.35</v>
      </c>
      <c r="T40" s="10" t="n">
        <v>8.07</v>
      </c>
      <c r="U40" s="10" t="n">
        <v>18.16</v>
      </c>
      <c r="V40" s="10" t="n">
        <v>98.89</v>
      </c>
      <c r="W40" s="10" t="n">
        <v>141.3</v>
      </c>
      <c r="X40" s="10" t="n">
        <v>-0.16</v>
      </c>
      <c r="Y40" s="10"/>
      <c r="Z40" s="10"/>
      <c r="AA40" s="10"/>
      <c r="AB40" s="10"/>
      <c r="AC40" s="10" t="n">
        <v>94.24</v>
      </c>
      <c r="AD40" s="10" t="n">
        <v>-8.33</v>
      </c>
      <c r="AE40" s="10" t="n">
        <v>62.21</v>
      </c>
      <c r="AF40" s="10" t="n">
        <v>38.01</v>
      </c>
      <c r="AG40" s="10" t="n">
        <v>65.88</v>
      </c>
      <c r="AH40" s="10" t="s">
        <v>405</v>
      </c>
      <c r="AI40" s="10" t="n">
        <v>-2.87</v>
      </c>
      <c r="AJ40" s="10" t="n">
        <v>-32.85</v>
      </c>
      <c r="AK40" s="10" t="n">
        <v>27.6</v>
      </c>
      <c r="AL40" s="10" t="n">
        <v>27.6</v>
      </c>
      <c r="AM40" s="10" t="n">
        <v>-0.82</v>
      </c>
      <c r="AN40" s="10" t="n">
        <v>-4.48</v>
      </c>
      <c r="AO40" s="10" t="n">
        <v>26.54</v>
      </c>
      <c r="AP40" s="10" t="n">
        <v>1.19</v>
      </c>
      <c r="AQ40" s="10" t="n">
        <v>7.48</v>
      </c>
      <c r="AR40" s="10" t="n">
        <v>300</v>
      </c>
      <c r="AS40" s="16" t="n">
        <v>46275</v>
      </c>
      <c r="AT40" s="15" t="n">
        <v>6572307968</v>
      </c>
      <c r="AU40" s="15" t="n">
        <v>5628742144</v>
      </c>
      <c r="AV40" s="10" t="n">
        <v>85.64</v>
      </c>
      <c r="AW40" s="15" t="n">
        <v>-53828000</v>
      </c>
      <c r="AX40" s="15" t="n">
        <v>1655499904</v>
      </c>
      <c r="AY40" s="10" t="n">
        <v>25.19</v>
      </c>
      <c r="AZ40" s="15" t="n">
        <v>6602112</v>
      </c>
      <c r="BA40" s="10" t="n">
        <v>225.05</v>
      </c>
      <c r="BB40" s="10" t="n">
        <v>88.4</v>
      </c>
      <c r="BC40" s="17" t="n">
        <f aca="false">IF(AND(ISNUMBER(O40),ISNUMBER(AS40)),O40-AS40,"")</f>
        <v>56</v>
      </c>
      <c r="BD40" s="10" t="n">
        <f aca="false">IF(OR(ISNUMBER(SEARCH("ETF",H40)),AND(F40="",AO40="")),1,0)</f>
        <v>0</v>
      </c>
      <c r="BE40" s="17" t="n">
        <f aca="false">IF(ISNUMBER(L40),IF(L40&gt;=Parameters!$B$3,2,IF(L40&gt;=Parameters!$B$4,1,0)),0)+IF(ISNUMBER(AW40),IF(AW40&gt;0,IF(AND(ISNUMBER(AM40),AM40&gt;=Parameters!$B$5),2,1),0),0)+IF(ISNUMBER(AX40),IF(AND(AX40&gt;0,ISNUMBER(AY40),AY40&gt;=Parameters!$B$6),1,0),0)+IF(ISNUMBER(AO40),IF(AND(AO40&gt;0,AO40&lt;=Parameters!$B$7),1,0),0)+IF(ISNUMBER(F40),IF(F40&gt;=Parameters!$B$8,1,0),0)</f>
        <v>3</v>
      </c>
      <c r="BF40" s="10" t="str">
        <f aca="false">IF(BD40=1,"ETF",IF(OR(AND(ISNUMBER(L40),L40&gt;=Parameters!$B$10),BE40&gt;=Parameters!$B$9),"Established","Early"))</f>
        <v>Early</v>
      </c>
      <c r="BG40" s="10" t="n">
        <f aca="false">IF(LEFT(AH40,6)="Golden",2,IF(LEFT(AH40,5)="Death",-2,0))</f>
        <v>2</v>
      </c>
      <c r="BH40" s="10" t="n">
        <f aca="false">IF(ISNUMBER(AG40),IF(AG40&gt;Parameters!$B$12,2,IF(AG40&gt;0,1,IF(AG40&gt;=Parameters!$B$13,-1,-2))),0)</f>
        <v>2</v>
      </c>
      <c r="BI40" s="10" t="n">
        <f aca="false">IF(ISNUMBER(AF40),IF(AND(AF40&gt;=Parameters!$B$14,AF40&lt;=Parameters!$B$15),1,IF(OR(AF40&gt;Parameters!$B$16,AF40&lt;Parameters!$B$17),-1,0)),0)</f>
        <v>-1</v>
      </c>
      <c r="BJ40" s="10" t="n">
        <f aca="false">IF(ISNUMBER(AE40),IF(AND(AE40&gt;=Parameters!$B$18,AE40&lt;=Parameters!$B$19),1,IF(OR(AE40&gt;Parameters!$B$20,AE40&lt;Parameters!$B$21),-1,0)),0)</f>
        <v>1</v>
      </c>
      <c r="BK40" s="10" t="n">
        <f aca="false">IF(ISNUMBER(E40),IF(E40&gt;Parameters!$B$22,1,IF(E40&lt;Parameters!$B$23,-1,0)),0)</f>
        <v>1</v>
      </c>
      <c r="BL40" s="10" t="n">
        <f aca="false">IF(ISNUMBER(C40),IF(C40&gt;=Parameters!$B$24,1,IF(C40&lt;=Parameters!$B$25,-1,0)),0)</f>
        <v>1</v>
      </c>
      <c r="BM40" s="10" t="n">
        <f aca="false">IF(ISNUMBER(AJ40),IF(AND(AJ40&gt;Parameters!$B$26,ISNUMBER(U40)),IF(U40&lt;0,-1,1),0),0)</f>
        <v>0</v>
      </c>
      <c r="BN40" s="10" t="n">
        <f aca="false">IF(ISNUMBER(AD40),IF(AD40&gt;Parameters!$B$27,1,IF(AD40&lt;Parameters!$B$28,-1,0)),0)</f>
        <v>1</v>
      </c>
      <c r="BO40" s="17" t="n">
        <f aca="false">BG40+BH40+BI40+BJ40+BK40+BL40+BM40+BN40</f>
        <v>7</v>
      </c>
      <c r="BP40" s="10" t="n">
        <f aca="false">IF(ISNUMBER(F40),IF(F40&gt;=Parameters!$B$30,2,IF(F40&gt;=Parameters!$B$31,1,IF(F40&lt;=Parameters!$B$32,-1,0))),0)</f>
        <v>0</v>
      </c>
      <c r="BQ40" s="10" t="n">
        <f aca="false">IF(ISNUMBER(AK40),IF(AK40&gt;Parameters!$B$33,1,IF(AK40&lt;0,-1,0)),0)</f>
        <v>1</v>
      </c>
      <c r="BR40" s="10" t="n">
        <f aca="false">IF(ISNUMBER(AL40),IF(AL40&gt;Parameters!$B$34,1,IF(AL40&lt;0,-1,0)),0)</f>
        <v>1</v>
      </c>
      <c r="BS40" s="10" t="n">
        <f aca="false">IF(ISNUMBER(AP40),IF(AND(AP40&gt;0,AP40&lt;=Parameters!$B$35),1,IF(AP40&gt;Parameters!$B$36,-1,0)),0)</f>
        <v>1</v>
      </c>
      <c r="BT40" s="10" t="n">
        <f aca="false">IF(ISNUMBER(AY40),IF(AY40&gt;Parameters!$B$37,1,IF(AY40&lt;0,-1,0)),0)</f>
        <v>1</v>
      </c>
      <c r="BU40" s="10" t="n">
        <f aca="false">IF(ISNUMBER(AZ40),IF(AZ40&gt;0,1,0),0)</f>
        <v>1</v>
      </c>
      <c r="BV40" s="10" t="n">
        <f aca="false">IF(ISNUMBER(AL40),IF(AL40&gt;Parameters!$B$39,2,IF(AL40&gt;Parameters!$B$40,1,IF(AL40&lt;0,-2,IF(AL40&lt;Parameters!$B$41,-1,0)))),0)</f>
        <v>1</v>
      </c>
      <c r="BW40" s="10" t="n">
        <f aca="false">IF(ISNUMBER(AV40),IF(AV40&gt;Parameters!$B$42,1,IF(AV40&lt;Parameters!$B$43,-1,0)),0)</f>
        <v>1</v>
      </c>
      <c r="BX40" s="10" t="n">
        <f aca="false">IF(AND(ISNUMBER(AX40),AX40&gt;0),1,IF(AND(ISNUMBER(AY40),AY40&lt;Parameters!$B$44),-1,0))</f>
        <v>1</v>
      </c>
      <c r="BY40" s="10" t="n">
        <f aca="false">IF(ISNUMBER(AW40),IF(AW40&gt;0,1,0),0)</f>
        <v>0</v>
      </c>
      <c r="BZ40" s="10" t="n">
        <f aca="false">IF(ISNUMBER(AQ40),IF(AQ40&gt;Parameters!$B$46,-2,IF(AQ40&gt;Parameters!$B$45,-1,0)),0)</f>
        <v>0</v>
      </c>
      <c r="CA40" s="10" t="n">
        <f aca="false">IF(ISNUMBER(F40),IF(F40&gt;=Parameters!$B$47,1,IF(F40&lt;=Parameters!$B$48,-1,0)),0)</f>
        <v>0</v>
      </c>
      <c r="CB40" s="17" t="n">
        <f aca="false">IF(BF40="Established",BP40+BQ40+BR40+BS40+BT40+BU40,IF(BF40="Early",BV40+BW40+BX40+BY40+BZ40+CA40,0))</f>
        <v>3</v>
      </c>
      <c r="CC40" s="18" t="n">
        <f aca="false">IF(BF40="Established",BO40+CB40,IF(BF40="Early",BO40+Parameters!$B$50*CB40,BO40))</f>
        <v>8.5</v>
      </c>
      <c r="CD40" s="17" t="n">
        <f aca="false">IF(BF40="Established",IF(CC40&gt;=Parameters!$B$51,6,IF(CC40&gt;=Parameters!$B$52,5,IF(CC40&gt;=Parameters!$B$53,4,IF(CC40&gt;=Parameters!$B$54,3,IF(CC40&gt;=Parameters!$B$55,2,1))))),IF(BF40="Early",IF(CC40&gt;=Parameters!$B$56,5,IF(CC40&gt;=Parameters!$B$57,4,IF(CC40&gt;=Parameters!$B$58,3,IF(CC40&gt;=Parameters!$B$59,2,1)))),IF(CC40&gt;=Parameters!$B$60,6,IF(CC40&gt;=Parameters!$B$61,5,IF(CC40&gt;=Parameters!$B$62,4,IF(CC40&gt;=Parameters!$B$63,3,IF(CC40&gt;=Parameters!$B$64,2,1)))))))</f>
        <v>4</v>
      </c>
      <c r="CE40" s="10" t="n">
        <f aca="false">IF(AND(ISNUMBER(AR40),AR40&lt;Parameters!$B$66),1,0)</f>
        <v>0</v>
      </c>
      <c r="CF40" s="10" t="n">
        <f aca="false">IF(AND(LEFT(AH40,5)="Death",ISNUMBER(AG40)),IF(BF40="Early",IF(AND(AG40&lt;Parameters!$B$70,ISNUMBER(U40),U40&lt;Parameters!$B$71),1,0),IF(AND(AG40&lt;Parameters!$B$67,OR(AND(ISNUMBER(U40),U40&lt;Parameters!$B$68),AND(ISNUMBER(V40),V40&lt;Parameters!$B$69))),1,0)),0)</f>
        <v>0</v>
      </c>
      <c r="CG40" s="10" t="n">
        <f aca="false">IF(AND(ISNUMBER(AG40),AG40&lt;0),1,0)</f>
        <v>0</v>
      </c>
      <c r="CH40" s="10" t="n">
        <f aca="false">IF(OR(AND(ISNUMBER(U40),U40&gt;Parameters!$B$74),AND(ISNUMBER(AF40),AF40&gt;Parameters!$B$75),AND(ISNUMBER(AE40),AE40&gt;Parameters!$B$76)),1,0)</f>
        <v>1</v>
      </c>
      <c r="CI40" s="10" t="n">
        <f aca="false">IF(AND(ISNUMBER(BC40),BC40&gt;=0,BC40&lt;=Parameters!$B$77),1,0)</f>
        <v>0</v>
      </c>
      <c r="CJ40" s="17" t="n">
        <f aca="false">IF(CF40=1,1,MIN(CD40,IF(CE40=1,3,6),IF(CG40=1,IF(BF40="Early",Parameters!$B$73,Parameters!$B$72),6),IF(CH40=1,3,6),IF(CI40=1,3,6)))</f>
        <v>3</v>
      </c>
      <c r="CK40" s="10" t="str">
        <f aca="false">INDEX(Parameters!$F$2:$F$7,CJ40)</f>
        <v>Hold</v>
      </c>
      <c r="CL40" s="10" t="str">
        <f aca="false">IF(CF40=1,"Hard sell: breakdown; ","")&amp;IF(CE40=1,"Insufficient history; ","")&amp;IF(AND(CF40=0,CG40=1),"Below 200D; ","")&amp;IF(CH40=1,"Extended - wait for pullback; ","")&amp;IF(CI40=1,"Earnings within "&amp;Parameters!$B$77&amp;"d; ","")</f>
        <v>Extended - wait for pullback; </v>
      </c>
    </row>
    <row r="41" customFormat="false" ht="15" hidden="false" customHeight="false" outlineLevel="0" collapsed="false">
      <c r="A41" s="10" t="s">
        <v>406</v>
      </c>
      <c r="B41" s="10" t="n">
        <v>6</v>
      </c>
      <c r="C41" s="10" t="n">
        <v>6</v>
      </c>
      <c r="D41" s="10" t="n">
        <v>50.6</v>
      </c>
      <c r="E41" s="10" t="n">
        <v>7.5</v>
      </c>
      <c r="F41" s="10"/>
      <c r="G41" s="10" t="s">
        <v>407</v>
      </c>
      <c r="H41" s="10" t="s">
        <v>363</v>
      </c>
      <c r="I41" s="10" t="n">
        <v>710.94</v>
      </c>
      <c r="J41" s="10" t="s">
        <v>295</v>
      </c>
      <c r="K41" s="10"/>
      <c r="L41" s="15" t="n">
        <v>261108809728</v>
      </c>
      <c r="M41" s="16" t="n">
        <v>46226</v>
      </c>
      <c r="N41" s="10" t="n">
        <v>6.02</v>
      </c>
      <c r="O41" s="16" t="n">
        <v>46317</v>
      </c>
      <c r="P41" s="10" t="s">
        <v>297</v>
      </c>
      <c r="Q41" s="10" t="n">
        <v>-0.75</v>
      </c>
      <c r="R41" s="10" t="n">
        <v>-0.29</v>
      </c>
      <c r="S41" s="10" t="n">
        <v>0.24</v>
      </c>
      <c r="T41" s="10" t="n">
        <v>-0.06</v>
      </c>
      <c r="U41" s="10" t="n">
        <v>-1.05</v>
      </c>
      <c r="V41" s="10" t="n">
        <v>2.49</v>
      </c>
      <c r="W41" s="10" t="n">
        <v>16.99</v>
      </c>
      <c r="X41" s="10" t="n">
        <v>22.47</v>
      </c>
      <c r="Y41" s="10"/>
      <c r="Z41" s="10"/>
      <c r="AA41" s="10"/>
      <c r="AB41" s="10"/>
      <c r="AC41" s="10" t="n">
        <v>-2.15</v>
      </c>
      <c r="AD41" s="10" t="n">
        <v>-5.04</v>
      </c>
      <c r="AE41" s="10" t="n">
        <v>47.77</v>
      </c>
      <c r="AF41" s="10" t="n">
        <v>0.04</v>
      </c>
      <c r="AG41" s="10" t="n">
        <v>7.8</v>
      </c>
      <c r="AH41" s="10" t="s">
        <v>301</v>
      </c>
      <c r="AI41" s="10" t="n">
        <v>-0.44</v>
      </c>
      <c r="AJ41" s="10" t="n">
        <v>-19.76</v>
      </c>
      <c r="AK41" s="10"/>
      <c r="AL41" s="10"/>
      <c r="AM41" s="10"/>
      <c r="AN41" s="10"/>
      <c r="AO41" s="10"/>
      <c r="AP41" s="10"/>
      <c r="AQ41" s="10"/>
      <c r="AR41" s="10" t="n">
        <v>300</v>
      </c>
      <c r="AS41" s="16" t="n">
        <v>46275</v>
      </c>
      <c r="AT41" s="15" t="n">
        <v>0</v>
      </c>
      <c r="AU41" s="15" t="n">
        <v>0</v>
      </c>
      <c r="AV41" s="10"/>
      <c r="AW41" s="15" t="n">
        <v>0</v>
      </c>
      <c r="AX41" s="15" t="n">
        <v>0</v>
      </c>
      <c r="AY41" s="10"/>
      <c r="AZ41" s="15" t="n">
        <v>0</v>
      </c>
      <c r="BA41" s="10" t="n">
        <v>27.96</v>
      </c>
      <c r="BB41" s="10" t="n">
        <v>80.47</v>
      </c>
      <c r="BC41" s="17" t="n">
        <f aca="false">IF(AND(ISNUMBER(O41),ISNUMBER(AS41)),O41-AS41,"")</f>
        <v>42</v>
      </c>
      <c r="BD41" s="10" t="n">
        <f aca="false">IF(OR(ISNUMBER(SEARCH("ETF",H41)),AND(F41="",AO41="")),1,0)</f>
        <v>1</v>
      </c>
      <c r="BE41" s="17" t="n">
        <f aca="false">IF(ISNUMBER(L41),IF(L41&gt;=Parameters!$B$3,2,IF(L41&gt;=Parameters!$B$4,1,0)),0)+IF(ISNUMBER(AW41),IF(AW41&gt;0,IF(AND(ISNUMBER(AM41),AM41&gt;=Parameters!$B$5),2,1),0),0)+IF(ISNUMBER(AX41),IF(AND(AX41&gt;0,ISNUMBER(AY41),AY41&gt;=Parameters!$B$6),1,0),0)+IF(ISNUMBER(AO41),IF(AND(AO41&gt;0,AO41&lt;=Parameters!$B$7),1,0),0)+IF(ISNUMBER(F41),IF(F41&gt;=Parameters!$B$8,1,0),0)</f>
        <v>2</v>
      </c>
      <c r="BF41" s="10" t="str">
        <f aca="false">IF(BD41=1,"ETF",IF(OR(AND(ISNUMBER(L41),L41&gt;=Parameters!$B$10),BE41&gt;=Parameters!$B$9),"Established","Early"))</f>
        <v>ETF</v>
      </c>
      <c r="BG41" s="10" t="n">
        <f aca="false">IF(LEFT(AH41,6)="Golden",2,IF(LEFT(AH41,5)="Death",-2,0))</f>
        <v>2</v>
      </c>
      <c r="BH41" s="10" t="n">
        <f aca="false">IF(ISNUMBER(AG41),IF(AG41&gt;Parameters!$B$12,2,IF(AG41&gt;0,1,IF(AG41&gt;=Parameters!$B$13,-1,-2))),0)</f>
        <v>1</v>
      </c>
      <c r="BI41" s="10" t="n">
        <f aca="false">IF(ISNUMBER(AF41),IF(AND(AF41&gt;=Parameters!$B$14,AF41&lt;=Parameters!$B$15),1,IF(OR(AF41&gt;Parameters!$B$16,AF41&lt;Parameters!$B$17),-1,0)),0)</f>
        <v>1</v>
      </c>
      <c r="BJ41" s="10" t="n">
        <f aca="false">IF(ISNUMBER(AE41),IF(AND(AE41&gt;=Parameters!$B$18,AE41&lt;=Parameters!$B$19),1,IF(OR(AE41&gt;Parameters!$B$20,AE41&lt;Parameters!$B$21),-1,0)),0)</f>
        <v>1</v>
      </c>
      <c r="BK41" s="10" t="n">
        <f aca="false">IF(ISNUMBER(E41),IF(E41&gt;Parameters!$B$22,1,IF(E41&lt;Parameters!$B$23,-1,0)),0)</f>
        <v>1</v>
      </c>
      <c r="BL41" s="10" t="n">
        <f aca="false">IF(ISNUMBER(C41),IF(C41&gt;=Parameters!$B$24,1,IF(C41&lt;=Parameters!$B$25,-1,0)),0)</f>
        <v>0</v>
      </c>
      <c r="BM41" s="10" t="n">
        <f aca="false">IF(ISNUMBER(AJ41),IF(AND(AJ41&gt;Parameters!$B$26,ISNUMBER(U41)),IF(U41&lt;0,-1,1),0),0)</f>
        <v>0</v>
      </c>
      <c r="BN41" s="10" t="n">
        <f aca="false">IF(ISNUMBER(AD41),IF(AD41&gt;Parameters!$B$27,1,IF(AD41&lt;Parameters!$B$28,-1,0)),0)</f>
        <v>1</v>
      </c>
      <c r="BO41" s="17" t="n">
        <f aca="false">BG41+BH41+BI41+BJ41+BK41+BL41+BM41+BN41</f>
        <v>7</v>
      </c>
      <c r="BP41" s="10" t="n">
        <f aca="false">IF(ISNUMBER(F41),IF(F41&gt;=Parameters!$B$30,2,IF(F41&gt;=Parameters!$B$31,1,IF(F41&lt;=Parameters!$B$32,-1,0))),0)</f>
        <v>0</v>
      </c>
      <c r="BQ41" s="10" t="n">
        <f aca="false">IF(ISNUMBER(AK41),IF(AK41&gt;Parameters!$B$33,1,IF(AK41&lt;0,-1,0)),0)</f>
        <v>0</v>
      </c>
      <c r="BR41" s="10" t="n">
        <f aca="false">IF(ISNUMBER(AL41),IF(AL41&gt;Parameters!$B$34,1,IF(AL41&lt;0,-1,0)),0)</f>
        <v>0</v>
      </c>
      <c r="BS41" s="10" t="n">
        <f aca="false">IF(ISNUMBER(AP41),IF(AND(AP41&gt;0,AP41&lt;=Parameters!$B$35),1,IF(AP41&gt;Parameters!$B$36,-1,0)),0)</f>
        <v>0</v>
      </c>
      <c r="BT41" s="10" t="n">
        <f aca="false">IF(ISNUMBER(AY41),IF(AY41&gt;Parameters!$B$37,1,IF(AY41&lt;0,-1,0)),0)</f>
        <v>0</v>
      </c>
      <c r="BU41" s="10" t="n">
        <f aca="false">IF(ISNUMBER(AZ41),IF(AZ41&gt;0,1,0),0)</f>
        <v>0</v>
      </c>
      <c r="BV41" s="10" t="n">
        <f aca="false">IF(ISNUMBER(AL41),IF(AL41&gt;Parameters!$B$39,2,IF(AL41&gt;Parameters!$B$40,1,IF(AL41&lt;0,-2,IF(AL41&lt;Parameters!$B$41,-1,0)))),0)</f>
        <v>0</v>
      </c>
      <c r="BW41" s="10" t="n">
        <f aca="false">IF(ISNUMBER(AV41),IF(AV41&gt;Parameters!$B$42,1,IF(AV41&lt;Parameters!$B$43,-1,0)),0)</f>
        <v>0</v>
      </c>
      <c r="BX41" s="10" t="n">
        <f aca="false">IF(AND(ISNUMBER(AX41),AX41&gt;0),1,IF(AND(ISNUMBER(AY41),AY41&lt;Parameters!$B$44),-1,0))</f>
        <v>0</v>
      </c>
      <c r="BY41" s="10" t="n">
        <f aca="false">IF(ISNUMBER(AW41),IF(AW41&gt;0,1,0),0)</f>
        <v>0</v>
      </c>
      <c r="BZ41" s="10" t="n">
        <f aca="false">IF(ISNUMBER(AQ41),IF(AQ41&gt;Parameters!$B$46,-2,IF(AQ41&gt;Parameters!$B$45,-1,0)),0)</f>
        <v>0</v>
      </c>
      <c r="CA41" s="10" t="n">
        <f aca="false">IF(ISNUMBER(F41),IF(F41&gt;=Parameters!$B$47,1,IF(F41&lt;=Parameters!$B$48,-1,0)),0)</f>
        <v>0</v>
      </c>
      <c r="CB41" s="17" t="n">
        <f aca="false">IF(BF41="Established",BP41+BQ41+BR41+BS41+BT41+BU41,IF(BF41="Early",BV41+BW41+BX41+BY41+BZ41+CA41,0))</f>
        <v>0</v>
      </c>
      <c r="CC41" s="18" t="n">
        <f aca="false">IF(BF41="Established",BO41+CB41,IF(BF41="Early",BO41+Parameters!$B$50*CB41,BO41))</f>
        <v>7</v>
      </c>
      <c r="CD41" s="17" t="n">
        <f aca="false">IF(BF41="Established",IF(CC41&gt;=Parameters!$B$51,6,IF(CC41&gt;=Parameters!$B$52,5,IF(CC41&gt;=Parameters!$B$53,4,IF(CC41&gt;=Parameters!$B$54,3,IF(CC41&gt;=Parameters!$B$55,2,1))))),IF(BF41="Early",IF(CC41&gt;=Parameters!$B$56,5,IF(CC41&gt;=Parameters!$B$57,4,IF(CC41&gt;=Parameters!$B$58,3,IF(CC41&gt;=Parameters!$B$59,2,1)))),IF(CC41&gt;=Parameters!$B$60,6,IF(CC41&gt;=Parameters!$B$61,5,IF(CC41&gt;=Parameters!$B$62,4,IF(CC41&gt;=Parameters!$B$63,3,IF(CC41&gt;=Parameters!$B$64,2,1)))))))</f>
        <v>5</v>
      </c>
      <c r="CE41" s="10" t="n">
        <f aca="false">IF(AND(ISNUMBER(AR41),AR41&lt;Parameters!$B$66),1,0)</f>
        <v>0</v>
      </c>
      <c r="CF41" s="10" t="n">
        <f aca="false">IF(AND(LEFT(AH41,5)="Death",ISNUMBER(AG41)),IF(BF41="Early",IF(AND(AG41&lt;Parameters!$B$70,ISNUMBER(U41),U41&lt;Parameters!$B$71),1,0),IF(AND(AG41&lt;Parameters!$B$67,OR(AND(ISNUMBER(U41),U41&lt;Parameters!$B$68),AND(ISNUMBER(V41),V41&lt;Parameters!$B$69))),1,0)),0)</f>
        <v>0</v>
      </c>
      <c r="CG41" s="10" t="n">
        <f aca="false">IF(AND(ISNUMBER(AG41),AG41&lt;0),1,0)</f>
        <v>0</v>
      </c>
      <c r="CH41" s="10" t="n">
        <f aca="false">IF(OR(AND(ISNUMBER(U41),U41&gt;Parameters!$B$74),AND(ISNUMBER(AF41),AF41&gt;Parameters!$B$75),AND(ISNUMBER(AE41),AE41&gt;Parameters!$B$76)),1,0)</f>
        <v>0</v>
      </c>
      <c r="CI41" s="10" t="n">
        <f aca="false">IF(AND(ISNUMBER(BC41),BC41&gt;=0,BC41&lt;=Parameters!$B$77),1,0)</f>
        <v>0</v>
      </c>
      <c r="CJ41" s="17" t="n">
        <f aca="false">IF(CF41=1,1,MIN(CD41,IF(CE41=1,3,6),IF(CG41=1,IF(BF41="Early",Parameters!$B$73,Parameters!$B$72),6),IF(CH41=1,3,6),IF(CI41=1,3,6)))</f>
        <v>5</v>
      </c>
      <c r="CK41" s="10" t="str">
        <f aca="false">INDEX(Parameters!$F$2:$F$7,CJ41)</f>
        <v>Buy</v>
      </c>
      <c r="CL41" s="10" t="str">
        <f aca="false">IF(CF41=1,"Hard sell: breakdown; ","")&amp;IF(CE41=1,"Insufficient history; ","")&amp;IF(AND(CF41=0,CG41=1),"Below 200D; ","")&amp;IF(CH41=1,"Extended - wait for pullback; ","")&amp;IF(CI41=1,"Earnings within "&amp;Parameters!$B$77&amp;"d; ","")</f>
        <v/>
      </c>
    </row>
    <row r="42" customFormat="false" ht="15" hidden="false" customHeight="false" outlineLevel="0" collapsed="false">
      <c r="A42" s="10" t="s">
        <v>408</v>
      </c>
      <c r="B42" s="10" t="n">
        <v>6</v>
      </c>
      <c r="C42" s="10" t="n">
        <v>7</v>
      </c>
      <c r="D42" s="10" t="n">
        <v>61.4</v>
      </c>
      <c r="E42" s="10" t="n">
        <v>3.4</v>
      </c>
      <c r="F42" s="10" t="n">
        <v>5</v>
      </c>
      <c r="G42" s="10" t="s">
        <v>409</v>
      </c>
      <c r="H42" s="10" t="s">
        <v>317</v>
      </c>
      <c r="I42" s="10" t="n">
        <v>101.23</v>
      </c>
      <c r="J42" s="10" t="s">
        <v>295</v>
      </c>
      <c r="K42" s="10" t="s">
        <v>296</v>
      </c>
      <c r="L42" s="15" t="n">
        <v>561595823034</v>
      </c>
      <c r="M42" s="16" t="n">
        <v>46226</v>
      </c>
      <c r="N42" s="10" t="n">
        <v>90.91</v>
      </c>
      <c r="O42" s="16" t="n">
        <v>46317</v>
      </c>
      <c r="P42" s="10" t="s">
        <v>297</v>
      </c>
      <c r="Q42" s="10" t="n">
        <v>-4.72</v>
      </c>
      <c r="R42" s="10" t="n">
        <v>1.69</v>
      </c>
      <c r="S42" s="10" t="n">
        <v>12.42</v>
      </c>
      <c r="T42" s="10" t="n">
        <v>14.72</v>
      </c>
      <c r="U42" s="10" t="n">
        <v>3.6</v>
      </c>
      <c r="V42" s="10" t="n">
        <v>-5.43</v>
      </c>
      <c r="W42" s="10" t="n">
        <v>110.98</v>
      </c>
      <c r="X42" s="10" t="n">
        <v>314.2</v>
      </c>
      <c r="Y42" s="10"/>
      <c r="Z42" s="10"/>
      <c r="AA42" s="10"/>
      <c r="AB42" s="10"/>
      <c r="AC42" s="10" t="n">
        <v>-10.07</v>
      </c>
      <c r="AD42" s="10" t="n">
        <v>-28.89</v>
      </c>
      <c r="AE42" s="10" t="n">
        <v>55.96</v>
      </c>
      <c r="AF42" s="10" t="n">
        <v>2.41</v>
      </c>
      <c r="AG42" s="10" t="n">
        <v>34.62</v>
      </c>
      <c r="AH42" s="10" t="s">
        <v>301</v>
      </c>
      <c r="AI42" s="10" t="n">
        <v>1.97</v>
      </c>
      <c r="AJ42" s="10" t="n">
        <v>-5.88</v>
      </c>
      <c r="AK42" s="10" t="n">
        <v>25.42</v>
      </c>
      <c r="AL42" s="10" t="n">
        <v>25.4</v>
      </c>
      <c r="AM42" s="10" t="n">
        <v>-19.79</v>
      </c>
      <c r="AN42" s="10" t="n">
        <v>-10.71</v>
      </c>
      <c r="AO42" s="10" t="n">
        <v>46.91</v>
      </c>
      <c r="AP42" s="10" t="n">
        <v>3.64</v>
      </c>
      <c r="AQ42" s="10" t="n">
        <v>2.94</v>
      </c>
      <c r="AR42" s="10" t="n">
        <v>300</v>
      </c>
      <c r="AS42" s="16" t="n">
        <v>46275</v>
      </c>
      <c r="AT42" s="15" t="n">
        <v>57031999488</v>
      </c>
      <c r="AU42" s="15" t="n">
        <v>22169999360</v>
      </c>
      <c r="AV42" s="10" t="n">
        <v>38.87</v>
      </c>
      <c r="AW42" s="15" t="n">
        <v>-11288999936</v>
      </c>
      <c r="AX42" s="15" t="n">
        <v>4866375168</v>
      </c>
      <c r="AY42" s="10" t="n">
        <v>8.53</v>
      </c>
      <c r="AZ42" s="15" t="n">
        <v>-20810000384</v>
      </c>
      <c r="BA42" s="10" t="n">
        <v>320.91</v>
      </c>
      <c r="BB42" s="10" t="n">
        <v>65.24</v>
      </c>
      <c r="BC42" s="17" t="n">
        <f aca="false">IF(AND(ISNUMBER(O42),ISNUMBER(AS42)),O42-AS42,"")</f>
        <v>42</v>
      </c>
      <c r="BD42" s="10" t="n">
        <f aca="false">IF(OR(ISNUMBER(SEARCH("ETF",H42)),AND(F42="",AO42="")),1,0)</f>
        <v>0</v>
      </c>
      <c r="BE42" s="17" t="n">
        <f aca="false">IF(ISNUMBER(L42),IF(L42&gt;=Parameters!$B$3,2,IF(L42&gt;=Parameters!$B$4,1,0)),0)+IF(ISNUMBER(AW42),IF(AW42&gt;0,IF(AND(ISNUMBER(AM42),AM42&gt;=Parameters!$B$5),2,1),0),0)+IF(ISNUMBER(AX42),IF(AND(AX42&gt;0,ISNUMBER(AY42),AY42&gt;=Parameters!$B$6),1,0),0)+IF(ISNUMBER(AO42),IF(AND(AO42&gt;0,AO42&lt;=Parameters!$B$7),1,0),0)+IF(ISNUMBER(F42),IF(F42&gt;=Parameters!$B$8,1,0),0)</f>
        <v>3</v>
      </c>
      <c r="BF42" s="10" t="str">
        <f aca="false">IF(BD42=1,"ETF",IF(OR(AND(ISNUMBER(L42),L42&gt;=Parameters!$B$10),BE42&gt;=Parameters!$B$9),"Established","Early"))</f>
        <v>Established</v>
      </c>
      <c r="BG42" s="10" t="n">
        <f aca="false">IF(LEFT(AH42,6)="Golden",2,IF(LEFT(AH42,5)="Death",-2,0))</f>
        <v>2</v>
      </c>
      <c r="BH42" s="10" t="n">
        <f aca="false">IF(ISNUMBER(AG42),IF(AG42&gt;Parameters!$B$12,2,IF(AG42&gt;0,1,IF(AG42&gt;=Parameters!$B$13,-1,-2))),0)</f>
        <v>2</v>
      </c>
      <c r="BI42" s="10" t="n">
        <f aca="false">IF(ISNUMBER(AF42),IF(AND(AF42&gt;=Parameters!$B$14,AF42&lt;=Parameters!$B$15),1,IF(OR(AF42&gt;Parameters!$B$16,AF42&lt;Parameters!$B$17),-1,0)),0)</f>
        <v>1</v>
      </c>
      <c r="BJ42" s="10" t="n">
        <f aca="false">IF(ISNUMBER(AE42),IF(AND(AE42&gt;=Parameters!$B$18,AE42&lt;=Parameters!$B$19),1,IF(OR(AE42&gt;Parameters!$B$20,AE42&lt;Parameters!$B$21),-1,0)),0)</f>
        <v>1</v>
      </c>
      <c r="BK42" s="10" t="n">
        <f aca="false">IF(ISNUMBER(E42),IF(E42&gt;Parameters!$B$22,1,IF(E42&lt;Parameters!$B$23,-1,0)),0)</f>
        <v>1</v>
      </c>
      <c r="BL42" s="10" t="n">
        <f aca="false">IF(ISNUMBER(C42),IF(C42&gt;=Parameters!$B$24,1,IF(C42&lt;=Parameters!$B$25,-1,0)),0)</f>
        <v>1</v>
      </c>
      <c r="BM42" s="10" t="n">
        <f aca="false">IF(ISNUMBER(AJ42),IF(AND(AJ42&gt;Parameters!$B$26,ISNUMBER(U42)),IF(U42&lt;0,-1,1),0),0)</f>
        <v>0</v>
      </c>
      <c r="BN42" s="10" t="n">
        <f aca="false">IF(ISNUMBER(AD42),IF(AD42&gt;Parameters!$B$27,1,IF(AD42&lt;Parameters!$B$28,-1,0)),0)</f>
        <v>0</v>
      </c>
      <c r="BO42" s="17" t="n">
        <f aca="false">BG42+BH42+BI42+BJ42+BK42+BL42+BM42+BN42</f>
        <v>8</v>
      </c>
      <c r="BP42" s="10" t="n">
        <f aca="false">IF(ISNUMBER(F42),IF(F42&gt;=Parameters!$B$30,2,IF(F42&gt;=Parameters!$B$31,1,IF(F42&lt;=Parameters!$B$32,-1,0))),0)</f>
        <v>0</v>
      </c>
      <c r="BQ42" s="10" t="n">
        <f aca="false">IF(ISNUMBER(AK42),IF(AK42&gt;Parameters!$B$33,1,IF(AK42&lt;0,-1,0)),0)</f>
        <v>1</v>
      </c>
      <c r="BR42" s="10" t="n">
        <f aca="false">IF(ISNUMBER(AL42),IF(AL42&gt;Parameters!$B$34,1,IF(AL42&lt;0,-1,0)),0)</f>
        <v>1</v>
      </c>
      <c r="BS42" s="10" t="n">
        <f aca="false">IF(ISNUMBER(AP42),IF(AND(AP42&gt;0,AP42&lt;=Parameters!$B$35),1,IF(AP42&gt;Parameters!$B$36,-1,0)),0)</f>
        <v>-1</v>
      </c>
      <c r="BT42" s="10" t="n">
        <f aca="false">IF(ISNUMBER(AY42),IF(AY42&gt;Parameters!$B$37,1,IF(AY42&lt;0,-1,0)),0)</f>
        <v>0</v>
      </c>
      <c r="BU42" s="10" t="n">
        <f aca="false">IF(ISNUMBER(AZ42),IF(AZ42&gt;0,1,0),0)</f>
        <v>0</v>
      </c>
      <c r="BV42" s="10" t="n">
        <f aca="false">IF(ISNUMBER(AL42),IF(AL42&gt;Parameters!$B$39,2,IF(AL42&gt;Parameters!$B$40,1,IF(AL42&lt;0,-2,IF(AL42&lt;Parameters!$B$41,-1,0)))),0)</f>
        <v>1</v>
      </c>
      <c r="BW42" s="10" t="n">
        <f aca="false">IF(ISNUMBER(AV42),IF(AV42&gt;Parameters!$B$42,1,IF(AV42&lt;Parameters!$B$43,-1,0)),0)</f>
        <v>0</v>
      </c>
      <c r="BX42" s="10" t="n">
        <f aca="false">IF(AND(ISNUMBER(AX42),AX42&gt;0),1,IF(AND(ISNUMBER(AY42),AY42&lt;Parameters!$B$44),-1,0))</f>
        <v>1</v>
      </c>
      <c r="BY42" s="10" t="n">
        <f aca="false">IF(ISNUMBER(AW42),IF(AW42&gt;0,1,0),0)</f>
        <v>0</v>
      </c>
      <c r="BZ42" s="10" t="n">
        <f aca="false">IF(ISNUMBER(AQ42),IF(AQ42&gt;Parameters!$B$46,-2,IF(AQ42&gt;Parameters!$B$45,-1,0)),0)</f>
        <v>0</v>
      </c>
      <c r="CA42" s="10" t="n">
        <f aca="false">IF(ISNUMBER(F42),IF(F42&gt;=Parameters!$B$47,1,IF(F42&lt;=Parameters!$B$48,-1,0)),0)</f>
        <v>0</v>
      </c>
      <c r="CB42" s="17" t="n">
        <f aca="false">IF(BF42="Established",BP42+BQ42+BR42+BS42+BT42+BU42,IF(BF42="Early",BV42+BW42+BX42+BY42+BZ42+CA42,0))</f>
        <v>1</v>
      </c>
      <c r="CC42" s="18" t="n">
        <f aca="false">IF(BF42="Established",BO42+CB42,IF(BF42="Early",BO42+Parameters!$B$50*CB42,BO42))</f>
        <v>9</v>
      </c>
      <c r="CD42" s="17" t="n">
        <f aca="false">IF(BF42="Established",IF(CC42&gt;=Parameters!$B$51,6,IF(CC42&gt;=Parameters!$B$52,5,IF(CC42&gt;=Parameters!$B$53,4,IF(CC42&gt;=Parameters!$B$54,3,IF(CC42&gt;=Parameters!$B$55,2,1))))),IF(BF42="Early",IF(CC42&gt;=Parameters!$B$56,5,IF(CC42&gt;=Parameters!$B$57,4,IF(CC42&gt;=Parameters!$B$58,3,IF(CC42&gt;=Parameters!$B$59,2,1)))),IF(CC42&gt;=Parameters!$B$60,6,IF(CC42&gt;=Parameters!$B$61,5,IF(CC42&gt;=Parameters!$B$62,4,IF(CC42&gt;=Parameters!$B$63,3,IF(CC42&gt;=Parameters!$B$64,2,1)))))))</f>
        <v>5</v>
      </c>
      <c r="CE42" s="10" t="n">
        <f aca="false">IF(AND(ISNUMBER(AR42),AR42&lt;Parameters!$B$66),1,0)</f>
        <v>0</v>
      </c>
      <c r="CF42" s="10" t="n">
        <f aca="false">IF(AND(LEFT(AH42,5)="Death",ISNUMBER(AG42)),IF(BF42="Early",IF(AND(AG42&lt;Parameters!$B$70,ISNUMBER(U42),U42&lt;Parameters!$B$71),1,0),IF(AND(AG42&lt;Parameters!$B$67,OR(AND(ISNUMBER(U42),U42&lt;Parameters!$B$68),AND(ISNUMBER(V42),V42&lt;Parameters!$B$69))),1,0)),0)</f>
        <v>0</v>
      </c>
      <c r="CG42" s="10" t="n">
        <f aca="false">IF(AND(ISNUMBER(AG42),AG42&lt;0),1,0)</f>
        <v>0</v>
      </c>
      <c r="CH42" s="10" t="n">
        <f aca="false">IF(OR(AND(ISNUMBER(U42),U42&gt;Parameters!$B$74),AND(ISNUMBER(AF42),AF42&gt;Parameters!$B$75),AND(ISNUMBER(AE42),AE42&gt;Parameters!$B$76)),1,0)</f>
        <v>0</v>
      </c>
      <c r="CI42" s="10" t="n">
        <f aca="false">IF(AND(ISNUMBER(BC42),BC42&gt;=0,BC42&lt;=Parameters!$B$77),1,0)</f>
        <v>0</v>
      </c>
      <c r="CJ42" s="17" t="n">
        <f aca="false">IF(CF42=1,1,MIN(CD42,IF(CE42=1,3,6),IF(CG42=1,IF(BF42="Early",Parameters!$B$73,Parameters!$B$72),6),IF(CH42=1,3,6),IF(CI42=1,3,6)))</f>
        <v>5</v>
      </c>
      <c r="CK42" s="10" t="str">
        <f aca="false">INDEX(Parameters!$F$2:$F$7,CJ42)</f>
        <v>Buy</v>
      </c>
      <c r="CL42" s="10" t="str">
        <f aca="false">IF(CF42=1,"Hard sell: breakdown; ","")&amp;IF(CE42=1,"Insufficient history; ","")&amp;IF(AND(CF42=0,CG42=1),"Below 200D; ","")&amp;IF(CH42=1,"Extended - wait for pullback; ","")&amp;IF(CI42=1,"Earnings within "&amp;Parameters!$B$77&amp;"d; ","")</f>
        <v/>
      </c>
    </row>
    <row r="43" customFormat="false" ht="15" hidden="false" customHeight="false" outlineLevel="0" collapsed="false">
      <c r="A43" s="10" t="s">
        <v>410</v>
      </c>
      <c r="B43" s="10" t="n">
        <v>6</v>
      </c>
      <c r="C43" s="10" t="n">
        <v>5</v>
      </c>
      <c r="D43" s="10" t="n">
        <v>41.5</v>
      </c>
      <c r="E43" s="10" t="n">
        <v>1.2</v>
      </c>
      <c r="F43" s="10" t="n">
        <v>9</v>
      </c>
      <c r="G43" s="10" t="s">
        <v>411</v>
      </c>
      <c r="H43" s="10" t="s">
        <v>412</v>
      </c>
      <c r="I43" s="10" t="n">
        <v>248.16</v>
      </c>
      <c r="J43" s="10" t="s">
        <v>295</v>
      </c>
      <c r="K43" s="10" t="s">
        <v>360</v>
      </c>
      <c r="L43" s="15" t="n">
        <v>101209544649</v>
      </c>
      <c r="M43" s="16" t="n">
        <v>46232</v>
      </c>
      <c r="N43" s="10" t="n">
        <v>6.29</v>
      </c>
      <c r="O43" s="16" t="n">
        <v>46323</v>
      </c>
      <c r="P43" s="10" t="s">
        <v>297</v>
      </c>
      <c r="Q43" s="10" t="n">
        <v>-5.6</v>
      </c>
      <c r="R43" s="10" t="n">
        <v>-9.61</v>
      </c>
      <c r="S43" s="10" t="n">
        <v>-3.33</v>
      </c>
      <c r="T43" s="10" t="n">
        <v>-5.93</v>
      </c>
      <c r="U43" s="10" t="n">
        <v>-11.94</v>
      </c>
      <c r="V43" s="10" t="n">
        <v>-11.68</v>
      </c>
      <c r="W43" s="10" t="n">
        <v>-7.49</v>
      </c>
      <c r="X43" s="10" t="n">
        <v>97.61</v>
      </c>
      <c r="Y43" s="10"/>
      <c r="Z43" s="10"/>
      <c r="AA43" s="10"/>
      <c r="AB43" s="10"/>
      <c r="AC43" s="10" t="n">
        <v>-16.32</v>
      </c>
      <c r="AD43" s="10" t="n">
        <v>-34.68</v>
      </c>
      <c r="AE43" s="10" t="n">
        <v>41.22</v>
      </c>
      <c r="AF43" s="10" t="n">
        <v>-11.31</v>
      </c>
      <c r="AG43" s="10" t="n">
        <v>-4.16</v>
      </c>
      <c r="AH43" s="10" t="s">
        <v>301</v>
      </c>
      <c r="AI43" s="10" t="n">
        <v>0.73</v>
      </c>
      <c r="AJ43" s="10" t="n">
        <v>6.59</v>
      </c>
      <c r="AK43" s="10" t="n">
        <v>53.5</v>
      </c>
      <c r="AL43" s="10" t="n">
        <v>24.1</v>
      </c>
      <c r="AM43" s="10" t="n">
        <v>15.09</v>
      </c>
      <c r="AN43" s="10" t="n">
        <v>43.94</v>
      </c>
      <c r="AO43" s="10" t="n">
        <v>32.3</v>
      </c>
      <c r="AP43" s="10" t="n">
        <v>1.28</v>
      </c>
      <c r="AQ43" s="10" t="n">
        <v>3.4</v>
      </c>
      <c r="AR43" s="10" t="n">
        <v>300</v>
      </c>
      <c r="AS43" s="16" t="n">
        <v>46275</v>
      </c>
      <c r="AT43" s="15" t="n">
        <v>11479600128</v>
      </c>
      <c r="AU43" s="15" t="n">
        <v>4366700032</v>
      </c>
      <c r="AV43" s="10" t="n">
        <v>38.04</v>
      </c>
      <c r="AW43" s="15" t="n">
        <v>1732000000</v>
      </c>
      <c r="AX43" s="15" t="n">
        <v>2696537600</v>
      </c>
      <c r="AY43" s="10" t="n">
        <v>23.49</v>
      </c>
      <c r="AZ43" s="15" t="n">
        <v>-227600128</v>
      </c>
      <c r="BA43" s="10" t="n">
        <v>87.03</v>
      </c>
      <c r="BB43" s="10" t="n">
        <v>46.7</v>
      </c>
      <c r="BC43" s="17" t="n">
        <f aca="false">IF(AND(ISNUMBER(O43),ISNUMBER(AS43)),O43-AS43,"")</f>
        <v>48</v>
      </c>
      <c r="BD43" s="10" t="n">
        <f aca="false">IF(OR(ISNUMBER(SEARCH("ETF",H43)),AND(F43="",AO43="")),1,0)</f>
        <v>0</v>
      </c>
      <c r="BE43" s="17" t="n">
        <f aca="false">IF(ISNUMBER(L43),IF(L43&gt;=Parameters!$B$3,2,IF(L43&gt;=Parameters!$B$4,1,0)),0)+IF(ISNUMBER(AW43),IF(AW43&gt;0,IF(AND(ISNUMBER(AM43),AM43&gt;=Parameters!$B$5),2,1),0),0)+IF(ISNUMBER(AX43),IF(AND(AX43&gt;0,ISNUMBER(AY43),AY43&gt;=Parameters!$B$6),1,0),0)+IF(ISNUMBER(AO43),IF(AND(AO43&gt;0,AO43&lt;=Parameters!$B$7),1,0),0)+IF(ISNUMBER(F43),IF(F43&gt;=Parameters!$B$8,1,0),0)</f>
        <v>7</v>
      </c>
      <c r="BF43" s="10" t="str">
        <f aca="false">IF(BD43=1,"ETF",IF(OR(AND(ISNUMBER(L43),L43&gt;=Parameters!$B$10),BE43&gt;=Parameters!$B$9),"Established","Early"))</f>
        <v>Established</v>
      </c>
      <c r="BG43" s="10" t="n">
        <f aca="false">IF(LEFT(AH43,6)="Golden",2,IF(LEFT(AH43,5)="Death",-2,0))</f>
        <v>2</v>
      </c>
      <c r="BH43" s="10" t="n">
        <f aca="false">IF(ISNUMBER(AG43),IF(AG43&gt;Parameters!$B$12,2,IF(AG43&gt;0,1,IF(AG43&gt;=Parameters!$B$13,-1,-2))),0)</f>
        <v>-1</v>
      </c>
      <c r="BI43" s="10" t="n">
        <f aca="false">IF(ISNUMBER(AF43),IF(AND(AF43&gt;=Parameters!$B$14,AF43&lt;=Parameters!$B$15),1,IF(OR(AF43&gt;Parameters!$B$16,AF43&lt;Parameters!$B$17),-1,0)),0)</f>
        <v>-1</v>
      </c>
      <c r="BJ43" s="10" t="n">
        <f aca="false">IF(ISNUMBER(AE43),IF(AND(AE43&gt;=Parameters!$B$18,AE43&lt;=Parameters!$B$19),1,IF(OR(AE43&gt;Parameters!$B$20,AE43&lt;Parameters!$B$21),-1,0)),0)</f>
        <v>0</v>
      </c>
      <c r="BK43" s="10" t="n">
        <f aca="false">IF(ISNUMBER(E43),IF(E43&gt;Parameters!$B$22,1,IF(E43&lt;Parameters!$B$23,-1,0)),0)</f>
        <v>0</v>
      </c>
      <c r="BL43" s="10" t="n">
        <f aca="false">IF(ISNUMBER(C43),IF(C43&gt;=Parameters!$B$24,1,IF(C43&lt;=Parameters!$B$25,-1,0)),0)</f>
        <v>0</v>
      </c>
      <c r="BM43" s="10" t="n">
        <f aca="false">IF(ISNUMBER(AJ43),IF(AND(AJ43&gt;Parameters!$B$26,ISNUMBER(U43)),IF(U43&lt;0,-1,1),0),0)</f>
        <v>0</v>
      </c>
      <c r="BN43" s="10" t="n">
        <f aca="false">IF(ISNUMBER(AD43),IF(AD43&gt;Parameters!$B$27,1,IF(AD43&lt;Parameters!$B$28,-1,0)),0)</f>
        <v>-1</v>
      </c>
      <c r="BO43" s="17" t="n">
        <f aca="false">BG43+BH43+BI43+BJ43+BK43+BL43+BM43+BN43</f>
        <v>-1</v>
      </c>
      <c r="BP43" s="10" t="n">
        <f aca="false">IF(ISNUMBER(F43),IF(F43&gt;=Parameters!$B$30,2,IF(F43&gt;=Parameters!$B$31,1,IF(F43&lt;=Parameters!$B$32,-1,0))),0)</f>
        <v>2</v>
      </c>
      <c r="BQ43" s="10" t="n">
        <f aca="false">IF(ISNUMBER(AK43),IF(AK43&gt;Parameters!$B$33,1,IF(AK43&lt;0,-1,0)),0)</f>
        <v>1</v>
      </c>
      <c r="BR43" s="10" t="n">
        <f aca="false">IF(ISNUMBER(AL43),IF(AL43&gt;Parameters!$B$34,1,IF(AL43&lt;0,-1,0)),0)</f>
        <v>1</v>
      </c>
      <c r="BS43" s="10" t="n">
        <f aca="false">IF(ISNUMBER(AP43),IF(AND(AP43&gt;0,AP43&lt;=Parameters!$B$35),1,IF(AP43&gt;Parameters!$B$36,-1,0)),0)</f>
        <v>1</v>
      </c>
      <c r="BT43" s="10" t="n">
        <f aca="false">IF(ISNUMBER(AY43),IF(AY43&gt;Parameters!$B$37,1,IF(AY43&lt;0,-1,0)),0)</f>
        <v>1</v>
      </c>
      <c r="BU43" s="10" t="n">
        <f aca="false">IF(ISNUMBER(AZ43),IF(AZ43&gt;0,1,0),0)</f>
        <v>0</v>
      </c>
      <c r="BV43" s="10" t="n">
        <f aca="false">IF(ISNUMBER(AL43),IF(AL43&gt;Parameters!$B$39,2,IF(AL43&gt;Parameters!$B$40,1,IF(AL43&lt;0,-2,IF(AL43&lt;Parameters!$B$41,-1,0)))),0)</f>
        <v>1</v>
      </c>
      <c r="BW43" s="10" t="n">
        <f aca="false">IF(ISNUMBER(AV43),IF(AV43&gt;Parameters!$B$42,1,IF(AV43&lt;Parameters!$B$43,-1,0)),0)</f>
        <v>0</v>
      </c>
      <c r="BX43" s="10" t="n">
        <f aca="false">IF(AND(ISNUMBER(AX43),AX43&gt;0),1,IF(AND(ISNUMBER(AY43),AY43&lt;Parameters!$B$44),-1,0))</f>
        <v>1</v>
      </c>
      <c r="BY43" s="10" t="n">
        <f aca="false">IF(ISNUMBER(AW43),IF(AW43&gt;0,1,0),0)</f>
        <v>1</v>
      </c>
      <c r="BZ43" s="10" t="n">
        <f aca="false">IF(ISNUMBER(AQ43),IF(AQ43&gt;Parameters!$B$46,-2,IF(AQ43&gt;Parameters!$B$45,-1,0)),0)</f>
        <v>0</v>
      </c>
      <c r="CA43" s="10" t="n">
        <f aca="false">IF(ISNUMBER(F43),IF(F43&gt;=Parameters!$B$47,1,IF(F43&lt;=Parameters!$B$48,-1,0)),0)</f>
        <v>1</v>
      </c>
      <c r="CB43" s="17" t="n">
        <f aca="false">IF(BF43="Established",BP43+BQ43+BR43+BS43+BT43+BU43,IF(BF43="Early",BV43+BW43+BX43+BY43+BZ43+CA43,0))</f>
        <v>6</v>
      </c>
      <c r="CC43" s="18" t="n">
        <f aca="false">IF(BF43="Established",BO43+CB43,IF(BF43="Early",BO43+Parameters!$B$50*CB43,BO43))</f>
        <v>5</v>
      </c>
      <c r="CD43" s="17" t="n">
        <f aca="false">IF(BF43="Established",IF(CC43&gt;=Parameters!$B$51,6,IF(CC43&gt;=Parameters!$B$52,5,IF(CC43&gt;=Parameters!$B$53,4,IF(CC43&gt;=Parameters!$B$54,3,IF(CC43&gt;=Parameters!$B$55,2,1))))),IF(BF43="Early",IF(CC43&gt;=Parameters!$B$56,5,IF(CC43&gt;=Parameters!$B$57,4,IF(CC43&gt;=Parameters!$B$58,3,IF(CC43&gt;=Parameters!$B$59,2,1)))),IF(CC43&gt;=Parameters!$B$60,6,IF(CC43&gt;=Parameters!$B$61,5,IF(CC43&gt;=Parameters!$B$62,4,IF(CC43&gt;=Parameters!$B$63,3,IF(CC43&gt;=Parameters!$B$64,2,1)))))))</f>
        <v>4</v>
      </c>
      <c r="CE43" s="10" t="n">
        <f aca="false">IF(AND(ISNUMBER(AR43),AR43&lt;Parameters!$B$66),1,0)</f>
        <v>0</v>
      </c>
      <c r="CF43" s="10" t="n">
        <f aca="false">IF(AND(LEFT(AH43,5)="Death",ISNUMBER(AG43)),IF(BF43="Early",IF(AND(AG43&lt;Parameters!$B$70,ISNUMBER(U43),U43&lt;Parameters!$B$71),1,0),IF(AND(AG43&lt;Parameters!$B$67,OR(AND(ISNUMBER(U43),U43&lt;Parameters!$B$68),AND(ISNUMBER(V43),V43&lt;Parameters!$B$69))),1,0)),0)</f>
        <v>0</v>
      </c>
      <c r="CG43" s="10" t="n">
        <f aca="false">IF(AND(ISNUMBER(AG43),AG43&lt;0),1,0)</f>
        <v>1</v>
      </c>
      <c r="CH43" s="10" t="n">
        <f aca="false">IF(OR(AND(ISNUMBER(U43),U43&gt;Parameters!$B$74),AND(ISNUMBER(AF43),AF43&gt;Parameters!$B$75),AND(ISNUMBER(AE43),AE43&gt;Parameters!$B$76)),1,0)</f>
        <v>0</v>
      </c>
      <c r="CI43" s="10" t="n">
        <f aca="false">IF(AND(ISNUMBER(BC43),BC43&gt;=0,BC43&lt;=Parameters!$B$77),1,0)</f>
        <v>0</v>
      </c>
      <c r="CJ43" s="17" t="n">
        <f aca="false">IF(CF43=1,1,MIN(CD43,IF(CE43=1,3,6),IF(CG43=1,IF(BF43="Early",Parameters!$B$73,Parameters!$B$72),6),IF(CH43=1,3,6),IF(CI43=1,3,6)))</f>
        <v>3</v>
      </c>
      <c r="CK43" s="10" t="str">
        <f aca="false">INDEX(Parameters!$F$2:$F$7,CJ43)</f>
        <v>Hold</v>
      </c>
      <c r="CL43" s="10" t="str">
        <f aca="false">IF(CF43=1,"Hard sell: breakdown; ","")&amp;IF(CE43=1,"Insufficient history; ","")&amp;IF(AND(CF43=0,CG43=1),"Below 200D; ","")&amp;IF(CH43=1,"Extended - wait for pullback; ","")&amp;IF(CI43=1,"Earnings within "&amp;Parameters!$B$77&amp;"d; ","")</f>
        <v>Below 200D; </v>
      </c>
    </row>
    <row r="44" customFormat="false" ht="15" hidden="false" customHeight="false" outlineLevel="0" collapsed="false">
      <c r="A44" s="10" t="s">
        <v>413</v>
      </c>
      <c r="B44" s="10" t="n">
        <v>6</v>
      </c>
      <c r="C44" s="10" t="n">
        <v>6</v>
      </c>
      <c r="D44" s="10" t="n">
        <v>55.7</v>
      </c>
      <c r="E44" s="10" t="n">
        <v>4.7</v>
      </c>
      <c r="F44" s="10" t="n">
        <v>5</v>
      </c>
      <c r="G44" s="10" t="s">
        <v>414</v>
      </c>
      <c r="H44" s="10" t="s">
        <v>349</v>
      </c>
      <c r="I44" s="10" t="n">
        <v>941.96</v>
      </c>
      <c r="J44" s="10" t="s">
        <v>295</v>
      </c>
      <c r="K44" s="10" t="s">
        <v>296</v>
      </c>
      <c r="L44" s="15" t="n">
        <v>88711504206</v>
      </c>
      <c r="M44" s="16" t="n">
        <v>46245</v>
      </c>
      <c r="N44" s="10" t="n">
        <v>8.75</v>
      </c>
      <c r="O44" s="16" t="n">
        <v>46336</v>
      </c>
      <c r="P44" s="10" t="s">
        <v>297</v>
      </c>
      <c r="Q44" s="10" t="n">
        <v>-4.75</v>
      </c>
      <c r="R44" s="10" t="n">
        <v>1.07</v>
      </c>
      <c r="S44" s="10" t="n">
        <v>8.2</v>
      </c>
      <c r="T44" s="10" t="n">
        <v>0.31</v>
      </c>
      <c r="U44" s="10" t="n">
        <v>14.79</v>
      </c>
      <c r="V44" s="10" t="n">
        <v>10.4</v>
      </c>
      <c r="W44" s="10" t="n">
        <v>40.17</v>
      </c>
      <c r="X44" s="10" t="n">
        <v>520.81</v>
      </c>
      <c r="Y44" s="10"/>
      <c r="Z44" s="10"/>
      <c r="AA44" s="10"/>
      <c r="AB44" s="10"/>
      <c r="AC44" s="10" t="n">
        <v>5.75</v>
      </c>
      <c r="AD44" s="10" t="n">
        <v>-13.24</v>
      </c>
      <c r="AE44" s="10" t="n">
        <v>55.29</v>
      </c>
      <c r="AF44" s="10" t="n">
        <v>14.31</v>
      </c>
      <c r="AG44" s="10" t="n">
        <v>35.33</v>
      </c>
      <c r="AH44" s="10" t="s">
        <v>301</v>
      </c>
      <c r="AI44" s="10" t="n">
        <v>4.39</v>
      </c>
      <c r="AJ44" s="10" t="n">
        <v>-6.24</v>
      </c>
      <c r="AK44" s="10" t="n">
        <v>109.34</v>
      </c>
      <c r="AL44" s="10" t="n">
        <v>109.3</v>
      </c>
      <c r="AM44" s="10" t="n">
        <v>-230.1</v>
      </c>
      <c r="AN44" s="10" t="n">
        <v>-240.03</v>
      </c>
      <c r="AO44" s="10" t="n">
        <v>29.77</v>
      </c>
      <c r="AP44" s="10" t="n">
        <v>-0.06</v>
      </c>
      <c r="AQ44" s="10" t="n">
        <v>8.16</v>
      </c>
      <c r="AR44" s="10" t="n">
        <v>300</v>
      </c>
      <c r="AS44" s="16" t="n">
        <v>46275</v>
      </c>
      <c r="AT44" s="15" t="n">
        <v>3014000128</v>
      </c>
      <c r="AU44" s="15" t="n">
        <v>1333500032</v>
      </c>
      <c r="AV44" s="10" t="n">
        <v>44.24</v>
      </c>
      <c r="AW44" s="15" t="n">
        <v>-6935099904</v>
      </c>
      <c r="AX44" s="15" t="n">
        <v>224700000</v>
      </c>
      <c r="AY44" s="10" t="n">
        <v>7.46</v>
      </c>
      <c r="AZ44" s="15" t="n">
        <v>1067200000</v>
      </c>
      <c r="BA44" s="10" t="n">
        <v>551.79</v>
      </c>
      <c r="BB44" s="10" t="n">
        <v>84.73</v>
      </c>
      <c r="BC44" s="17" t="n">
        <f aca="false">IF(AND(ISNUMBER(O44),ISNUMBER(AS44)),O44-AS44,"")</f>
        <v>61</v>
      </c>
      <c r="BD44" s="10" t="n">
        <f aca="false">IF(OR(ISNUMBER(SEARCH("ETF",H44)),AND(F44="",AO44="")),1,0)</f>
        <v>0</v>
      </c>
      <c r="BE44" s="17" t="n">
        <f aca="false">IF(ISNUMBER(L44),IF(L44&gt;=Parameters!$B$3,2,IF(L44&gt;=Parameters!$B$4,1,0)),0)+IF(ISNUMBER(AW44),IF(AW44&gt;0,IF(AND(ISNUMBER(AM44),AM44&gt;=Parameters!$B$5),2,1),0),0)+IF(ISNUMBER(AX44),IF(AND(AX44&gt;0,ISNUMBER(AY44),AY44&gt;=Parameters!$B$6),1,0),0)+IF(ISNUMBER(AO44),IF(AND(AO44&gt;0,AO44&lt;=Parameters!$B$7),1,0),0)+IF(ISNUMBER(F44),IF(F44&gt;=Parameters!$B$8,1,0),0)</f>
        <v>3</v>
      </c>
      <c r="BF44" s="10" t="str">
        <f aca="false">IF(BD44=1,"ETF",IF(OR(AND(ISNUMBER(L44),L44&gt;=Parameters!$B$10),BE44&gt;=Parameters!$B$9),"Established","Early"))</f>
        <v>Early</v>
      </c>
      <c r="BG44" s="10" t="n">
        <f aca="false">IF(LEFT(AH44,6)="Golden",2,IF(LEFT(AH44,5)="Death",-2,0))</f>
        <v>2</v>
      </c>
      <c r="BH44" s="10" t="n">
        <f aca="false">IF(ISNUMBER(AG44),IF(AG44&gt;Parameters!$B$12,2,IF(AG44&gt;0,1,IF(AG44&gt;=Parameters!$B$13,-1,-2))),0)</f>
        <v>2</v>
      </c>
      <c r="BI44" s="10" t="n">
        <f aca="false">IF(ISNUMBER(AF44),IF(AND(AF44&gt;=Parameters!$B$14,AF44&lt;=Parameters!$B$15),1,IF(OR(AF44&gt;Parameters!$B$16,AF44&lt;Parameters!$B$17),-1,0)),0)</f>
        <v>0</v>
      </c>
      <c r="BJ44" s="10" t="n">
        <f aca="false">IF(ISNUMBER(AE44),IF(AND(AE44&gt;=Parameters!$B$18,AE44&lt;=Parameters!$B$19),1,IF(OR(AE44&gt;Parameters!$B$20,AE44&lt;Parameters!$B$21),-1,0)),0)</f>
        <v>1</v>
      </c>
      <c r="BK44" s="10" t="n">
        <f aca="false">IF(ISNUMBER(E44),IF(E44&gt;Parameters!$B$22,1,IF(E44&lt;Parameters!$B$23,-1,0)),0)</f>
        <v>1</v>
      </c>
      <c r="BL44" s="10" t="n">
        <f aca="false">IF(ISNUMBER(C44),IF(C44&gt;=Parameters!$B$24,1,IF(C44&lt;=Parameters!$B$25,-1,0)),0)</f>
        <v>0</v>
      </c>
      <c r="BM44" s="10" t="n">
        <f aca="false">IF(ISNUMBER(AJ44),IF(AND(AJ44&gt;Parameters!$B$26,ISNUMBER(U44)),IF(U44&lt;0,-1,1),0),0)</f>
        <v>0</v>
      </c>
      <c r="BN44" s="10" t="n">
        <f aca="false">IF(ISNUMBER(AD44),IF(AD44&gt;Parameters!$B$27,1,IF(AD44&lt;Parameters!$B$28,-1,0)),0)</f>
        <v>0</v>
      </c>
      <c r="BO44" s="17" t="n">
        <f aca="false">BG44+BH44+BI44+BJ44+BK44+BL44+BM44+BN44</f>
        <v>6</v>
      </c>
      <c r="BP44" s="10" t="n">
        <f aca="false">IF(ISNUMBER(F44),IF(F44&gt;=Parameters!$B$30,2,IF(F44&gt;=Parameters!$B$31,1,IF(F44&lt;=Parameters!$B$32,-1,0))),0)</f>
        <v>0</v>
      </c>
      <c r="BQ44" s="10" t="n">
        <f aca="false">IF(ISNUMBER(AK44),IF(AK44&gt;Parameters!$B$33,1,IF(AK44&lt;0,-1,0)),0)</f>
        <v>1</v>
      </c>
      <c r="BR44" s="10" t="n">
        <f aca="false">IF(ISNUMBER(AL44),IF(AL44&gt;Parameters!$B$34,1,IF(AL44&lt;0,-1,0)),0)</f>
        <v>1</v>
      </c>
      <c r="BS44" s="10" t="n">
        <f aca="false">IF(ISNUMBER(AP44),IF(AND(AP44&gt;0,AP44&lt;=Parameters!$B$35),1,IF(AP44&gt;Parameters!$B$36,-1,0)),0)</f>
        <v>0</v>
      </c>
      <c r="BT44" s="10" t="n">
        <f aca="false">IF(ISNUMBER(AY44),IF(AY44&gt;Parameters!$B$37,1,IF(AY44&lt;0,-1,0)),0)</f>
        <v>0</v>
      </c>
      <c r="BU44" s="10" t="n">
        <f aca="false">IF(ISNUMBER(AZ44),IF(AZ44&gt;0,1,0),0)</f>
        <v>1</v>
      </c>
      <c r="BV44" s="10" t="n">
        <f aca="false">IF(ISNUMBER(AL44),IF(AL44&gt;Parameters!$B$39,2,IF(AL44&gt;Parameters!$B$40,1,IF(AL44&lt;0,-2,IF(AL44&lt;Parameters!$B$41,-1,0)))),0)</f>
        <v>2</v>
      </c>
      <c r="BW44" s="10" t="n">
        <f aca="false">IF(ISNUMBER(AV44),IF(AV44&gt;Parameters!$B$42,1,IF(AV44&lt;Parameters!$B$43,-1,0)),0)</f>
        <v>0</v>
      </c>
      <c r="BX44" s="10" t="n">
        <f aca="false">IF(AND(ISNUMBER(AX44),AX44&gt;0),1,IF(AND(ISNUMBER(AY44),AY44&lt;Parameters!$B$44),-1,0))</f>
        <v>1</v>
      </c>
      <c r="BY44" s="10" t="n">
        <f aca="false">IF(ISNUMBER(AW44),IF(AW44&gt;0,1,0),0)</f>
        <v>0</v>
      </c>
      <c r="BZ44" s="10" t="n">
        <f aca="false">IF(ISNUMBER(AQ44),IF(AQ44&gt;Parameters!$B$46,-2,IF(AQ44&gt;Parameters!$B$45,-1,0)),0)</f>
        <v>0</v>
      </c>
      <c r="CA44" s="10" t="n">
        <f aca="false">IF(ISNUMBER(F44),IF(F44&gt;=Parameters!$B$47,1,IF(F44&lt;=Parameters!$B$48,-1,0)),0)</f>
        <v>0</v>
      </c>
      <c r="CB44" s="17" t="n">
        <f aca="false">IF(BF44="Established",BP44+BQ44+BR44+BS44+BT44+BU44,IF(BF44="Early",BV44+BW44+BX44+BY44+BZ44+CA44,0))</f>
        <v>3</v>
      </c>
      <c r="CC44" s="18" t="n">
        <f aca="false">IF(BF44="Established",BO44+CB44,IF(BF44="Early",BO44+Parameters!$B$50*CB44,BO44))</f>
        <v>7.5</v>
      </c>
      <c r="CD44" s="17" t="n">
        <f aca="false">IF(BF44="Established",IF(CC44&gt;=Parameters!$B$51,6,IF(CC44&gt;=Parameters!$B$52,5,IF(CC44&gt;=Parameters!$B$53,4,IF(CC44&gt;=Parameters!$B$54,3,IF(CC44&gt;=Parameters!$B$55,2,1))))),IF(BF44="Early",IF(CC44&gt;=Parameters!$B$56,5,IF(CC44&gt;=Parameters!$B$57,4,IF(CC44&gt;=Parameters!$B$58,3,IF(CC44&gt;=Parameters!$B$59,2,1)))),IF(CC44&gt;=Parameters!$B$60,6,IF(CC44&gt;=Parameters!$B$61,5,IF(CC44&gt;=Parameters!$B$62,4,IF(CC44&gt;=Parameters!$B$63,3,IF(CC44&gt;=Parameters!$B$64,2,1)))))))</f>
        <v>4</v>
      </c>
      <c r="CE44" s="10" t="n">
        <f aca="false">IF(AND(ISNUMBER(AR44),AR44&lt;Parameters!$B$66),1,0)</f>
        <v>0</v>
      </c>
      <c r="CF44" s="10" t="n">
        <f aca="false">IF(AND(LEFT(AH44,5)="Death",ISNUMBER(AG44)),IF(BF44="Early",IF(AND(AG44&lt;Parameters!$B$70,ISNUMBER(U44),U44&lt;Parameters!$B$71),1,0),IF(AND(AG44&lt;Parameters!$B$67,OR(AND(ISNUMBER(U44),U44&lt;Parameters!$B$68),AND(ISNUMBER(V44),V44&lt;Parameters!$B$69))),1,0)),0)</f>
        <v>0</v>
      </c>
      <c r="CG44" s="10" t="n">
        <f aca="false">IF(AND(ISNUMBER(AG44),AG44&lt;0),1,0)</f>
        <v>0</v>
      </c>
      <c r="CH44" s="10" t="n">
        <f aca="false">IF(OR(AND(ISNUMBER(U44),U44&gt;Parameters!$B$74),AND(ISNUMBER(AF44),AF44&gt;Parameters!$B$75),AND(ISNUMBER(AE44),AE44&gt;Parameters!$B$76)),1,0)</f>
        <v>0</v>
      </c>
      <c r="CI44" s="10" t="n">
        <f aca="false">IF(AND(ISNUMBER(BC44),BC44&gt;=0,BC44&lt;=Parameters!$B$77),1,0)</f>
        <v>0</v>
      </c>
      <c r="CJ44" s="17" t="n">
        <f aca="false">IF(CF44=1,1,MIN(CD44,IF(CE44=1,3,6),IF(CG44=1,IF(BF44="Early",Parameters!$B$73,Parameters!$B$72),6),IF(CH44=1,3,6),IF(CI44=1,3,6)))</f>
        <v>4</v>
      </c>
      <c r="CK44" s="10" t="str">
        <f aca="false">INDEX(Parameters!$F$2:$F$7,CJ44)</f>
        <v>Buy with Risk</v>
      </c>
      <c r="CL44" s="10" t="str">
        <f aca="false">IF(CF44=1,"Hard sell: breakdown; ","")&amp;IF(CE44=1,"Insufficient history; ","")&amp;IF(AND(CF44=0,CG44=1),"Below 200D; ","")&amp;IF(CH44=1,"Extended - wait for pullback; ","")&amp;IF(CI44=1,"Earnings within "&amp;Parameters!$B$77&amp;"d; ","")</f>
        <v/>
      </c>
    </row>
    <row r="45" customFormat="false" ht="15" hidden="false" customHeight="false" outlineLevel="0" collapsed="false">
      <c r="A45" s="10" t="s">
        <v>415</v>
      </c>
      <c r="B45" s="10" t="n">
        <v>6</v>
      </c>
      <c r="C45" s="10" t="n">
        <v>6</v>
      </c>
      <c r="D45" s="10" t="n">
        <v>50</v>
      </c>
      <c r="E45" s="10" t="n">
        <v>2.9</v>
      </c>
      <c r="F45" s="10" t="n">
        <v>6</v>
      </c>
      <c r="G45" s="10" t="s">
        <v>416</v>
      </c>
      <c r="H45" s="10" t="s">
        <v>317</v>
      </c>
      <c r="I45" s="10" t="n">
        <v>178.88</v>
      </c>
      <c r="J45" s="10" t="s">
        <v>295</v>
      </c>
      <c r="K45" s="10" t="s">
        <v>296</v>
      </c>
      <c r="L45" s="15" t="n">
        <v>238980472078</v>
      </c>
      <c r="M45" s="16" t="n">
        <v>46231</v>
      </c>
      <c r="N45" s="10" t="n">
        <v>5</v>
      </c>
      <c r="O45" s="16" t="n">
        <v>46322</v>
      </c>
      <c r="P45" s="10" t="s">
        <v>297</v>
      </c>
      <c r="Q45" s="10" t="n">
        <v>-2.2</v>
      </c>
      <c r="R45" s="10" t="n">
        <v>-3.21</v>
      </c>
      <c r="S45" s="10" t="n">
        <v>3.84</v>
      </c>
      <c r="T45" s="10" t="n">
        <v>-2.69</v>
      </c>
      <c r="U45" s="10" t="n">
        <v>-10.77</v>
      </c>
      <c r="V45" s="10" t="n">
        <v>-16.24</v>
      </c>
      <c r="W45" s="10" t="n">
        <v>22.1</v>
      </c>
      <c r="X45" s="10" t="n">
        <v>94.92</v>
      </c>
      <c r="Y45" s="10"/>
      <c r="Z45" s="10"/>
      <c r="AA45" s="10"/>
      <c r="AB45" s="10"/>
      <c r="AC45" s="10" t="n">
        <v>-20.88</v>
      </c>
      <c r="AD45" s="10" t="n">
        <v>-41.8</v>
      </c>
      <c r="AE45" s="10" t="n">
        <v>42.89</v>
      </c>
      <c r="AF45" s="10" t="n">
        <v>-10.65</v>
      </c>
      <c r="AG45" s="10" t="n">
        <v>3.65</v>
      </c>
      <c r="AH45" s="10" t="s">
        <v>301</v>
      </c>
      <c r="AI45" s="10" t="n">
        <v>1.15</v>
      </c>
      <c r="AJ45" s="10" t="n">
        <v>-3.84</v>
      </c>
      <c r="AK45" s="10" t="n">
        <v>13.3</v>
      </c>
      <c r="AL45" s="10" t="n">
        <v>15.2</v>
      </c>
      <c r="AM45" s="10" t="n">
        <v>35.57</v>
      </c>
      <c r="AN45" s="10" t="n">
        <v>87.5</v>
      </c>
      <c r="AO45" s="10" t="n">
        <v>28.34</v>
      </c>
      <c r="AP45" s="10" t="n">
        <v>3.66</v>
      </c>
      <c r="AQ45" s="10" t="n">
        <v>1.94</v>
      </c>
      <c r="AR45" s="10" t="n">
        <v>300</v>
      </c>
      <c r="AS45" s="16" t="n">
        <v>46275</v>
      </c>
      <c r="AT45" s="15" t="n">
        <v>13579475968</v>
      </c>
      <c r="AU45" s="15" t="n">
        <v>8324416000</v>
      </c>
      <c r="AV45" s="10" t="n">
        <v>61.3</v>
      </c>
      <c r="AW45" s="15" t="n">
        <v>4830771200</v>
      </c>
      <c r="AX45" s="15" t="n">
        <v>2624587520</v>
      </c>
      <c r="AY45" s="10" t="n">
        <v>19.33</v>
      </c>
      <c r="AZ45" s="15" t="n">
        <v>-1249304576</v>
      </c>
      <c r="BA45" s="10" t="n">
        <v>95.52</v>
      </c>
      <c r="BB45" s="10" t="n">
        <v>40.48</v>
      </c>
      <c r="BC45" s="17" t="n">
        <f aca="false">IF(AND(ISNUMBER(O45),ISNUMBER(AS45)),O45-AS45,"")</f>
        <v>47</v>
      </c>
      <c r="BD45" s="10" t="n">
        <f aca="false">IF(OR(ISNUMBER(SEARCH("ETF",H45)),AND(F45="",AO45="")),1,0)</f>
        <v>0</v>
      </c>
      <c r="BE45" s="17" t="n">
        <f aca="false">IF(ISNUMBER(L45),IF(L45&gt;=Parameters!$B$3,2,IF(L45&gt;=Parameters!$B$4,1,0)),0)+IF(ISNUMBER(AW45),IF(AW45&gt;0,IF(AND(ISNUMBER(AM45),AM45&gt;=Parameters!$B$5),2,1),0),0)+IF(ISNUMBER(AX45),IF(AND(AX45&gt;0,ISNUMBER(AY45),AY45&gt;=Parameters!$B$6),1,0),0)+IF(ISNUMBER(AO45),IF(AND(AO45&gt;0,AO45&lt;=Parameters!$B$7),1,0),0)+IF(ISNUMBER(F45),IF(F45&gt;=Parameters!$B$8,1,0),0)</f>
        <v>6</v>
      </c>
      <c r="BF45" s="10" t="str">
        <f aca="false">IF(BD45=1,"ETF",IF(OR(AND(ISNUMBER(L45),L45&gt;=Parameters!$B$10),BE45&gt;=Parameters!$B$9),"Established","Early"))</f>
        <v>Established</v>
      </c>
      <c r="BG45" s="10" t="n">
        <f aca="false">IF(LEFT(AH45,6)="Golden",2,IF(LEFT(AH45,5)="Death",-2,0))</f>
        <v>2</v>
      </c>
      <c r="BH45" s="10" t="n">
        <f aca="false">IF(ISNUMBER(AG45),IF(AG45&gt;Parameters!$B$12,2,IF(AG45&gt;0,1,IF(AG45&gt;=Parameters!$B$13,-1,-2))),0)</f>
        <v>1</v>
      </c>
      <c r="BI45" s="10" t="n">
        <f aca="false">IF(ISNUMBER(AF45),IF(AND(AF45&gt;=Parameters!$B$14,AF45&lt;=Parameters!$B$15),1,IF(OR(AF45&gt;Parameters!$B$16,AF45&lt;Parameters!$B$17),-1,0)),0)</f>
        <v>-1</v>
      </c>
      <c r="BJ45" s="10" t="n">
        <f aca="false">IF(ISNUMBER(AE45),IF(AND(AE45&gt;=Parameters!$B$18,AE45&lt;=Parameters!$B$19),1,IF(OR(AE45&gt;Parameters!$B$20,AE45&lt;Parameters!$B$21),-1,0)),0)</f>
        <v>0</v>
      </c>
      <c r="BK45" s="10" t="n">
        <f aca="false">IF(ISNUMBER(E45),IF(E45&gt;Parameters!$B$22,1,IF(E45&lt;Parameters!$B$23,-1,0)),0)</f>
        <v>0</v>
      </c>
      <c r="BL45" s="10" t="n">
        <f aca="false">IF(ISNUMBER(C45),IF(C45&gt;=Parameters!$B$24,1,IF(C45&lt;=Parameters!$B$25,-1,0)),0)</f>
        <v>0</v>
      </c>
      <c r="BM45" s="10" t="n">
        <f aca="false">IF(ISNUMBER(AJ45),IF(AND(AJ45&gt;Parameters!$B$26,ISNUMBER(U45)),IF(U45&lt;0,-1,1),0),0)</f>
        <v>0</v>
      </c>
      <c r="BN45" s="10" t="n">
        <f aca="false">IF(ISNUMBER(AD45),IF(AD45&gt;Parameters!$B$27,1,IF(AD45&lt;Parameters!$B$28,-1,0)),0)</f>
        <v>-1</v>
      </c>
      <c r="BO45" s="17" t="n">
        <f aca="false">BG45+BH45+BI45+BJ45+BK45+BL45+BM45+BN45</f>
        <v>1</v>
      </c>
      <c r="BP45" s="10" t="n">
        <f aca="false">IF(ISNUMBER(F45),IF(F45&gt;=Parameters!$B$30,2,IF(F45&gt;=Parameters!$B$31,1,IF(F45&lt;=Parameters!$B$32,-1,0))),0)</f>
        <v>1</v>
      </c>
      <c r="BQ45" s="10" t="n">
        <f aca="false">IF(ISNUMBER(AK45),IF(AK45&gt;Parameters!$B$33,1,IF(AK45&lt;0,-1,0)),0)</f>
        <v>0</v>
      </c>
      <c r="BR45" s="10" t="n">
        <f aca="false">IF(ISNUMBER(AL45),IF(AL45&gt;Parameters!$B$34,1,IF(AL45&lt;0,-1,0)),0)</f>
        <v>1</v>
      </c>
      <c r="BS45" s="10" t="n">
        <f aca="false">IF(ISNUMBER(AP45),IF(AND(AP45&gt;0,AP45&lt;=Parameters!$B$35),1,IF(AP45&gt;Parameters!$B$36,-1,0)),0)</f>
        <v>-1</v>
      </c>
      <c r="BT45" s="10" t="n">
        <f aca="false">IF(ISNUMBER(AY45),IF(AY45&gt;Parameters!$B$37,1,IF(AY45&lt;0,-1,0)),0)</f>
        <v>1</v>
      </c>
      <c r="BU45" s="10" t="n">
        <f aca="false">IF(ISNUMBER(AZ45),IF(AZ45&gt;0,1,0),0)</f>
        <v>0</v>
      </c>
      <c r="BV45" s="10" t="n">
        <f aca="false">IF(ISNUMBER(AL45),IF(AL45&gt;Parameters!$B$39,2,IF(AL45&gt;Parameters!$B$40,1,IF(AL45&lt;0,-2,IF(AL45&lt;Parameters!$B$41,-1,0)))),0)</f>
        <v>1</v>
      </c>
      <c r="BW45" s="10" t="n">
        <f aca="false">IF(ISNUMBER(AV45),IF(AV45&gt;Parameters!$B$42,1,IF(AV45&lt;Parameters!$B$43,-1,0)),0)</f>
        <v>1</v>
      </c>
      <c r="BX45" s="10" t="n">
        <f aca="false">IF(AND(ISNUMBER(AX45),AX45&gt;0),1,IF(AND(ISNUMBER(AY45),AY45&lt;Parameters!$B$44),-1,0))</f>
        <v>1</v>
      </c>
      <c r="BY45" s="10" t="n">
        <f aca="false">IF(ISNUMBER(AW45),IF(AW45&gt;0,1,0),0)</f>
        <v>1</v>
      </c>
      <c r="BZ45" s="10" t="n">
        <f aca="false">IF(ISNUMBER(AQ45),IF(AQ45&gt;Parameters!$B$46,-2,IF(AQ45&gt;Parameters!$B$45,-1,0)),0)</f>
        <v>0</v>
      </c>
      <c r="CA45" s="10" t="n">
        <f aca="false">IF(ISNUMBER(F45),IF(F45&gt;=Parameters!$B$47,1,IF(F45&lt;=Parameters!$B$48,-1,0)),0)</f>
        <v>1</v>
      </c>
      <c r="CB45" s="17" t="n">
        <f aca="false">IF(BF45="Established",BP45+BQ45+BR45+BS45+BT45+BU45,IF(BF45="Early",BV45+BW45+BX45+BY45+BZ45+CA45,0))</f>
        <v>2</v>
      </c>
      <c r="CC45" s="18" t="n">
        <f aca="false">IF(BF45="Established",BO45+CB45,IF(BF45="Early",BO45+Parameters!$B$50*CB45,BO45))</f>
        <v>3</v>
      </c>
      <c r="CD45" s="17" t="n">
        <f aca="false">IF(BF45="Established",IF(CC45&gt;=Parameters!$B$51,6,IF(CC45&gt;=Parameters!$B$52,5,IF(CC45&gt;=Parameters!$B$53,4,IF(CC45&gt;=Parameters!$B$54,3,IF(CC45&gt;=Parameters!$B$55,2,1))))),IF(BF45="Early",IF(CC45&gt;=Parameters!$B$56,5,IF(CC45&gt;=Parameters!$B$57,4,IF(CC45&gt;=Parameters!$B$58,3,IF(CC45&gt;=Parameters!$B$59,2,1)))),IF(CC45&gt;=Parameters!$B$60,6,IF(CC45&gt;=Parameters!$B$61,5,IF(CC45&gt;=Parameters!$B$62,4,IF(CC45&gt;=Parameters!$B$63,3,IF(CC45&gt;=Parameters!$B$64,2,1)))))))</f>
        <v>3</v>
      </c>
      <c r="CE45" s="10" t="n">
        <f aca="false">IF(AND(ISNUMBER(AR45),AR45&lt;Parameters!$B$66),1,0)</f>
        <v>0</v>
      </c>
      <c r="CF45" s="10" t="n">
        <f aca="false">IF(AND(LEFT(AH45,5)="Death",ISNUMBER(AG45)),IF(BF45="Early",IF(AND(AG45&lt;Parameters!$B$70,ISNUMBER(U45),U45&lt;Parameters!$B$71),1,0),IF(AND(AG45&lt;Parameters!$B$67,OR(AND(ISNUMBER(U45),U45&lt;Parameters!$B$68),AND(ISNUMBER(V45),V45&lt;Parameters!$B$69))),1,0)),0)</f>
        <v>0</v>
      </c>
      <c r="CG45" s="10" t="n">
        <f aca="false">IF(AND(ISNUMBER(AG45),AG45&lt;0),1,0)</f>
        <v>0</v>
      </c>
      <c r="CH45" s="10" t="n">
        <f aca="false">IF(OR(AND(ISNUMBER(U45),U45&gt;Parameters!$B$74),AND(ISNUMBER(AF45),AF45&gt;Parameters!$B$75),AND(ISNUMBER(AE45),AE45&gt;Parameters!$B$76)),1,0)</f>
        <v>0</v>
      </c>
      <c r="CI45" s="10" t="n">
        <f aca="false">IF(AND(ISNUMBER(BC45),BC45&gt;=0,BC45&lt;=Parameters!$B$77),1,0)</f>
        <v>0</v>
      </c>
      <c r="CJ45" s="17" t="n">
        <f aca="false">IF(CF45=1,1,MIN(CD45,IF(CE45=1,3,6),IF(CG45=1,IF(BF45="Early",Parameters!$B$73,Parameters!$B$72),6),IF(CH45=1,3,6),IF(CI45=1,3,6)))</f>
        <v>3</v>
      </c>
      <c r="CK45" s="10" t="str">
        <f aca="false">INDEX(Parameters!$F$2:$F$7,CJ45)</f>
        <v>Hold</v>
      </c>
      <c r="CL45" s="10" t="str">
        <f aca="false">IF(CF45=1,"Hard sell: breakdown; ","")&amp;IF(CE45=1,"Insufficient history; ","")&amp;IF(AND(CF45=0,CG45=1),"Below 200D; ","")&amp;IF(CH45=1,"Extended - wait for pullback; ","")&amp;IF(CI45=1,"Earnings within "&amp;Parameters!$B$77&amp;"d; ","")</f>
        <v/>
      </c>
    </row>
    <row r="46" customFormat="false" ht="15" hidden="false" customHeight="false" outlineLevel="0" collapsed="false">
      <c r="A46" s="10" t="s">
        <v>417</v>
      </c>
      <c r="B46" s="10" t="n">
        <v>6</v>
      </c>
      <c r="C46" s="10" t="n">
        <v>5</v>
      </c>
      <c r="D46" s="10" t="n">
        <v>49.1</v>
      </c>
      <c r="E46" s="10" t="n">
        <v>-3.2</v>
      </c>
      <c r="F46" s="10" t="n">
        <v>7</v>
      </c>
      <c r="G46" s="10" t="s">
        <v>418</v>
      </c>
      <c r="H46" s="10" t="s">
        <v>386</v>
      </c>
      <c r="I46" s="10" t="n">
        <v>323.9</v>
      </c>
      <c r="J46" s="10" t="s">
        <v>295</v>
      </c>
      <c r="K46" s="10" t="s">
        <v>360</v>
      </c>
      <c r="L46" s="15" t="n">
        <v>337643603356</v>
      </c>
      <c r="M46" s="16" t="n">
        <v>46219</v>
      </c>
      <c r="N46" s="10" t="n">
        <v>8.6</v>
      </c>
      <c r="O46" s="16" t="n">
        <v>46310</v>
      </c>
      <c r="P46" s="10" t="s">
        <v>297</v>
      </c>
      <c r="Q46" s="10" t="n">
        <v>-0.47</v>
      </c>
      <c r="R46" s="10" t="n">
        <v>-2.83</v>
      </c>
      <c r="S46" s="10" t="n">
        <v>-1.7</v>
      </c>
      <c r="T46" s="10" t="n">
        <v>-8.6</v>
      </c>
      <c r="U46" s="10" t="n">
        <v>-12</v>
      </c>
      <c r="V46" s="10" t="n">
        <v>1.63</v>
      </c>
      <c r="W46" s="10" t="n">
        <v>-0.38</v>
      </c>
      <c r="X46" s="10" t="n">
        <v>17.25</v>
      </c>
      <c r="Y46" s="10"/>
      <c r="Z46" s="10"/>
      <c r="AA46" s="10"/>
      <c r="AB46" s="10"/>
      <c r="AC46" s="10" t="n">
        <v>-3.01</v>
      </c>
      <c r="AD46" s="10" t="n">
        <v>-16.7</v>
      </c>
      <c r="AE46" s="10" t="n">
        <v>34.82</v>
      </c>
      <c r="AF46" s="10" t="n">
        <v>-8.65</v>
      </c>
      <c r="AG46" s="10" t="n">
        <v>0.65</v>
      </c>
      <c r="AH46" s="10" t="s">
        <v>419</v>
      </c>
      <c r="AI46" s="10" t="n">
        <v>-2.14</v>
      </c>
      <c r="AJ46" s="10" t="n">
        <v>-24.68</v>
      </c>
      <c r="AK46" s="10" t="n">
        <v>16.9</v>
      </c>
      <c r="AL46" s="10" t="n">
        <v>21.1</v>
      </c>
      <c r="AM46" s="10" t="n">
        <v>17.7</v>
      </c>
      <c r="AN46" s="10" t="n">
        <v>48.23</v>
      </c>
      <c r="AO46" s="10" t="n">
        <v>35.97</v>
      </c>
      <c r="AP46" s="10" t="n">
        <v>1.99</v>
      </c>
      <c r="AQ46" s="10" t="n">
        <v>1.3</v>
      </c>
      <c r="AR46" s="10" t="n">
        <v>300</v>
      </c>
      <c r="AS46" s="16" t="n">
        <v>46275</v>
      </c>
      <c r="AT46" s="15" t="n">
        <v>50638999552</v>
      </c>
      <c r="AU46" s="15" t="n">
        <v>15724000256</v>
      </c>
      <c r="AV46" s="10" t="n">
        <v>31.05</v>
      </c>
      <c r="AW46" s="15" t="n">
        <v>8963999744</v>
      </c>
      <c r="AX46" s="15" t="n">
        <v>6594625024</v>
      </c>
      <c r="AY46" s="10" t="n">
        <v>13.02</v>
      </c>
      <c r="AZ46" s="15" t="n">
        <v>-10285000704</v>
      </c>
      <c r="BA46" s="10" t="n">
        <v>20.45</v>
      </c>
      <c r="BB46" s="10" t="n">
        <v>45.85</v>
      </c>
      <c r="BC46" s="17" t="n">
        <f aca="false">IF(AND(ISNUMBER(O46),ISNUMBER(AS46)),O46-AS46,"")</f>
        <v>35</v>
      </c>
      <c r="BD46" s="10" t="n">
        <f aca="false">IF(OR(ISNUMBER(SEARCH("ETF",H46)),AND(F46="",AO46="")),1,0)</f>
        <v>0</v>
      </c>
      <c r="BE46" s="17" t="n">
        <f aca="false">IF(ISNUMBER(L46),IF(L46&gt;=Parameters!$B$3,2,IF(L46&gt;=Parameters!$B$4,1,0)),0)+IF(ISNUMBER(AW46),IF(AW46&gt;0,IF(AND(ISNUMBER(AM46),AM46&gt;=Parameters!$B$5),2,1),0),0)+IF(ISNUMBER(AX46),IF(AND(AX46&gt;0,ISNUMBER(AY46),AY46&gt;=Parameters!$B$6),1,0),0)+IF(ISNUMBER(AO46),IF(AND(AO46&gt;0,AO46&lt;=Parameters!$B$7),1,0),0)+IF(ISNUMBER(F46),IF(F46&gt;=Parameters!$B$8,1,0),0)</f>
        <v>7</v>
      </c>
      <c r="BF46" s="10" t="str">
        <f aca="false">IF(BD46=1,"ETF",IF(OR(AND(ISNUMBER(L46),L46&gt;=Parameters!$B$10),BE46&gt;=Parameters!$B$9),"Established","Early"))</f>
        <v>Established</v>
      </c>
      <c r="BG46" s="10" t="n">
        <f aca="false">IF(LEFT(AH46,6)="Golden",2,IF(LEFT(AH46,5)="Death",-2,0))</f>
        <v>2</v>
      </c>
      <c r="BH46" s="10" t="n">
        <f aca="false">IF(ISNUMBER(AG46),IF(AG46&gt;Parameters!$B$12,2,IF(AG46&gt;0,1,IF(AG46&gt;=Parameters!$B$13,-1,-2))),0)</f>
        <v>1</v>
      </c>
      <c r="BI46" s="10" t="n">
        <f aca="false">IF(ISNUMBER(AF46),IF(AND(AF46&gt;=Parameters!$B$14,AF46&lt;=Parameters!$B$15),1,IF(OR(AF46&gt;Parameters!$B$16,AF46&lt;Parameters!$B$17),-1,0)),0)</f>
        <v>-1</v>
      </c>
      <c r="BJ46" s="10" t="n">
        <f aca="false">IF(ISNUMBER(AE46),IF(AND(AE46&gt;=Parameters!$B$18,AE46&lt;=Parameters!$B$19),1,IF(OR(AE46&gt;Parameters!$B$20,AE46&lt;Parameters!$B$21),-1,0)),0)</f>
        <v>-1</v>
      </c>
      <c r="BK46" s="10" t="n">
        <f aca="false">IF(ISNUMBER(E46),IF(E46&gt;Parameters!$B$22,1,IF(E46&lt;Parameters!$B$23,-1,0)),0)</f>
        <v>0</v>
      </c>
      <c r="BL46" s="10" t="n">
        <f aca="false">IF(ISNUMBER(C46),IF(C46&gt;=Parameters!$B$24,1,IF(C46&lt;=Parameters!$B$25,-1,0)),0)</f>
        <v>0</v>
      </c>
      <c r="BM46" s="10" t="n">
        <f aca="false">IF(ISNUMBER(AJ46),IF(AND(AJ46&gt;Parameters!$B$26,ISNUMBER(U46)),IF(U46&lt;0,-1,1),0),0)</f>
        <v>0</v>
      </c>
      <c r="BN46" s="10" t="n">
        <f aca="false">IF(ISNUMBER(AD46),IF(AD46&gt;Parameters!$B$27,1,IF(AD46&lt;Parameters!$B$28,-1,0)),0)</f>
        <v>0</v>
      </c>
      <c r="BO46" s="17" t="n">
        <f aca="false">BG46+BH46+BI46+BJ46+BK46+BL46+BM46+BN46</f>
        <v>1</v>
      </c>
      <c r="BP46" s="10" t="n">
        <f aca="false">IF(ISNUMBER(F46),IF(F46&gt;=Parameters!$B$30,2,IF(F46&gt;=Parameters!$B$31,1,IF(F46&lt;=Parameters!$B$32,-1,0))),0)</f>
        <v>1</v>
      </c>
      <c r="BQ46" s="10" t="n">
        <f aca="false">IF(ISNUMBER(AK46),IF(AK46&gt;Parameters!$B$33,1,IF(AK46&lt;0,-1,0)),0)</f>
        <v>1</v>
      </c>
      <c r="BR46" s="10" t="n">
        <f aca="false">IF(ISNUMBER(AL46),IF(AL46&gt;Parameters!$B$34,1,IF(AL46&lt;0,-1,0)),0)</f>
        <v>1</v>
      </c>
      <c r="BS46" s="10" t="n">
        <f aca="false">IF(ISNUMBER(AP46),IF(AND(AP46&gt;0,AP46&lt;=Parameters!$B$35),1,IF(AP46&gt;Parameters!$B$36,-1,0)),0)</f>
        <v>0</v>
      </c>
      <c r="BT46" s="10" t="n">
        <f aca="false">IF(ISNUMBER(AY46),IF(AY46&gt;Parameters!$B$37,1,IF(AY46&lt;0,-1,0)),0)</f>
        <v>1</v>
      </c>
      <c r="BU46" s="10" t="n">
        <f aca="false">IF(ISNUMBER(AZ46),IF(AZ46&gt;0,1,0),0)</f>
        <v>0</v>
      </c>
      <c r="BV46" s="10" t="n">
        <f aca="false">IF(ISNUMBER(AL46),IF(AL46&gt;Parameters!$B$39,2,IF(AL46&gt;Parameters!$B$40,1,IF(AL46&lt;0,-2,IF(AL46&lt;Parameters!$B$41,-1,0)))),0)</f>
        <v>1</v>
      </c>
      <c r="BW46" s="10" t="n">
        <f aca="false">IF(ISNUMBER(AV46),IF(AV46&gt;Parameters!$B$42,1,IF(AV46&lt;Parameters!$B$43,-1,0)),0)</f>
        <v>0</v>
      </c>
      <c r="BX46" s="10" t="n">
        <f aca="false">IF(AND(ISNUMBER(AX46),AX46&gt;0),1,IF(AND(ISNUMBER(AY46),AY46&lt;Parameters!$B$44),-1,0))</f>
        <v>1</v>
      </c>
      <c r="BY46" s="10" t="n">
        <f aca="false">IF(ISNUMBER(AW46),IF(AW46&gt;0,1,0),0)</f>
        <v>1</v>
      </c>
      <c r="BZ46" s="10" t="n">
        <f aca="false">IF(ISNUMBER(AQ46),IF(AQ46&gt;Parameters!$B$46,-2,IF(AQ46&gt;Parameters!$B$45,-1,0)),0)</f>
        <v>0</v>
      </c>
      <c r="CA46" s="10" t="n">
        <f aca="false">IF(ISNUMBER(F46),IF(F46&gt;=Parameters!$B$47,1,IF(F46&lt;=Parameters!$B$48,-1,0)),0)</f>
        <v>1</v>
      </c>
      <c r="CB46" s="17" t="n">
        <f aca="false">IF(BF46="Established",BP46+BQ46+BR46+BS46+BT46+BU46,IF(BF46="Early",BV46+BW46+BX46+BY46+BZ46+CA46,0))</f>
        <v>4</v>
      </c>
      <c r="CC46" s="18" t="n">
        <f aca="false">IF(BF46="Established",BO46+CB46,IF(BF46="Early",BO46+Parameters!$B$50*CB46,BO46))</f>
        <v>5</v>
      </c>
      <c r="CD46" s="17" t="n">
        <f aca="false">IF(BF46="Established",IF(CC46&gt;=Parameters!$B$51,6,IF(CC46&gt;=Parameters!$B$52,5,IF(CC46&gt;=Parameters!$B$53,4,IF(CC46&gt;=Parameters!$B$54,3,IF(CC46&gt;=Parameters!$B$55,2,1))))),IF(BF46="Early",IF(CC46&gt;=Parameters!$B$56,5,IF(CC46&gt;=Parameters!$B$57,4,IF(CC46&gt;=Parameters!$B$58,3,IF(CC46&gt;=Parameters!$B$59,2,1)))),IF(CC46&gt;=Parameters!$B$60,6,IF(CC46&gt;=Parameters!$B$61,5,IF(CC46&gt;=Parameters!$B$62,4,IF(CC46&gt;=Parameters!$B$63,3,IF(CC46&gt;=Parameters!$B$64,2,1)))))))</f>
        <v>4</v>
      </c>
      <c r="CE46" s="10" t="n">
        <f aca="false">IF(AND(ISNUMBER(AR46),AR46&lt;Parameters!$B$66),1,0)</f>
        <v>0</v>
      </c>
      <c r="CF46" s="10" t="n">
        <f aca="false">IF(AND(LEFT(AH46,5)="Death",ISNUMBER(AG46)),IF(BF46="Early",IF(AND(AG46&lt;Parameters!$B$70,ISNUMBER(U46),U46&lt;Parameters!$B$71),1,0),IF(AND(AG46&lt;Parameters!$B$67,OR(AND(ISNUMBER(U46),U46&lt;Parameters!$B$68),AND(ISNUMBER(V46),V46&lt;Parameters!$B$69))),1,0)),0)</f>
        <v>0</v>
      </c>
      <c r="CG46" s="10" t="n">
        <f aca="false">IF(AND(ISNUMBER(AG46),AG46&lt;0),1,0)</f>
        <v>0</v>
      </c>
      <c r="CH46" s="10" t="n">
        <f aca="false">IF(OR(AND(ISNUMBER(U46),U46&gt;Parameters!$B$74),AND(ISNUMBER(AF46),AF46&gt;Parameters!$B$75),AND(ISNUMBER(AE46),AE46&gt;Parameters!$B$76)),1,0)</f>
        <v>0</v>
      </c>
      <c r="CI46" s="10" t="n">
        <f aca="false">IF(AND(ISNUMBER(BC46),BC46&gt;=0,BC46&lt;=Parameters!$B$77),1,0)</f>
        <v>0</v>
      </c>
      <c r="CJ46" s="17" t="n">
        <f aca="false">IF(CF46=1,1,MIN(CD46,IF(CE46=1,3,6),IF(CG46=1,IF(BF46="Early",Parameters!$B$73,Parameters!$B$72),6),IF(CH46=1,3,6),IF(CI46=1,3,6)))</f>
        <v>4</v>
      </c>
      <c r="CK46" s="10" t="str">
        <f aca="false">INDEX(Parameters!$F$2:$F$7,CJ46)</f>
        <v>Buy with Risk</v>
      </c>
      <c r="CL46" s="10" t="str">
        <f aca="false">IF(CF46=1,"Hard sell: breakdown; ","")&amp;IF(CE46=1,"Insufficient history; ","")&amp;IF(AND(CF46=0,CG46=1),"Below 200D; ","")&amp;IF(CH46=1,"Extended - wait for pullback; ","")&amp;IF(CI46=1,"Earnings within "&amp;Parameters!$B$77&amp;"d; ","")</f>
        <v/>
      </c>
    </row>
    <row r="47" customFormat="false" ht="15" hidden="false" customHeight="false" outlineLevel="0" collapsed="false">
      <c r="A47" s="10" t="s">
        <v>420</v>
      </c>
      <c r="B47" s="10" t="n">
        <v>6</v>
      </c>
      <c r="C47" s="10" t="n">
        <v>4</v>
      </c>
      <c r="D47" s="10" t="n">
        <v>30.1</v>
      </c>
      <c r="E47" s="10" t="n">
        <v>3.6</v>
      </c>
      <c r="F47" s="10" t="n">
        <v>9</v>
      </c>
      <c r="G47" s="10" t="s">
        <v>421</v>
      </c>
      <c r="H47" s="10" t="s">
        <v>422</v>
      </c>
      <c r="I47" s="10" t="n">
        <v>38.25</v>
      </c>
      <c r="J47" s="10" t="s">
        <v>295</v>
      </c>
      <c r="K47" s="10" t="s">
        <v>296</v>
      </c>
      <c r="L47" s="15" t="n">
        <v>25575662399</v>
      </c>
      <c r="M47" s="16" t="n">
        <v>46245</v>
      </c>
      <c r="N47" s="10" t="n">
        <v>77.08</v>
      </c>
      <c r="O47" s="16" t="n">
        <v>46336</v>
      </c>
      <c r="P47" s="10" t="s">
        <v>297</v>
      </c>
      <c r="Q47" s="10" t="n">
        <v>-1.75</v>
      </c>
      <c r="R47" s="10" t="n">
        <v>-3.3</v>
      </c>
      <c r="S47" s="10" t="n">
        <v>3.38</v>
      </c>
      <c r="T47" s="10" t="n">
        <v>2.3</v>
      </c>
      <c r="U47" s="10" t="n">
        <v>21.04</v>
      </c>
      <c r="V47" s="10" t="n">
        <v>30.68</v>
      </c>
      <c r="W47" s="10" t="n">
        <v>20.32</v>
      </c>
      <c r="X47" s="10" t="n">
        <v>-10.88</v>
      </c>
      <c r="Y47" s="10"/>
      <c r="Z47" s="10"/>
      <c r="AA47" s="10"/>
      <c r="AB47" s="10"/>
      <c r="AC47" s="10" t="n">
        <v>26.04</v>
      </c>
      <c r="AD47" s="10" t="n">
        <v>-34.93</v>
      </c>
      <c r="AE47" s="10" t="n">
        <v>56.65</v>
      </c>
      <c r="AF47" s="10" t="n">
        <v>18.45</v>
      </c>
      <c r="AG47" s="10" t="n">
        <v>21.6</v>
      </c>
      <c r="AH47" s="10" t="s">
        <v>346</v>
      </c>
      <c r="AI47" s="10" t="n">
        <v>-0.1</v>
      </c>
      <c r="AJ47" s="10" t="n">
        <v>-23.97</v>
      </c>
      <c r="AK47" s="10" t="n">
        <v>503.7</v>
      </c>
      <c r="AL47" s="10" t="n">
        <v>93.2</v>
      </c>
      <c r="AM47" s="10" t="n">
        <v>5.62</v>
      </c>
      <c r="AN47" s="10" t="n">
        <v>21.47</v>
      </c>
      <c r="AO47" s="10" t="n">
        <v>7.74</v>
      </c>
      <c r="AP47" s="10" t="n">
        <v>0.03</v>
      </c>
      <c r="AQ47" s="10" t="n">
        <v>16.36</v>
      </c>
      <c r="AR47" s="10" t="n">
        <v>300</v>
      </c>
      <c r="AS47" s="16" t="n">
        <v>46275</v>
      </c>
      <c r="AT47" s="15" t="n">
        <v>39063072768</v>
      </c>
      <c r="AU47" s="15" t="n">
        <v>4227250944</v>
      </c>
      <c r="AV47" s="10" t="n">
        <v>10.82</v>
      </c>
      <c r="AW47" s="15" t="n">
        <v>2195842048</v>
      </c>
      <c r="AX47" s="15" t="n">
        <v>-8248783872</v>
      </c>
      <c r="AY47" s="10" t="n">
        <v>-21.12</v>
      </c>
      <c r="AZ47" s="15" t="n">
        <v>-1715302400</v>
      </c>
      <c r="BA47" s="10" t="n">
        <v>96.36</v>
      </c>
      <c r="BB47" s="10" t="n">
        <v>47.76</v>
      </c>
      <c r="BC47" s="17" t="n">
        <f aca="false">IF(AND(ISNUMBER(O47),ISNUMBER(AS47)),O47-AS47,"")</f>
        <v>61</v>
      </c>
      <c r="BD47" s="10" t="n">
        <f aca="false">IF(OR(ISNUMBER(SEARCH("ETF",H47)),AND(F47="",AO47="")),1,0)</f>
        <v>0</v>
      </c>
      <c r="BE47" s="17" t="n">
        <f aca="false">IF(ISNUMBER(L47),IF(L47&gt;=Parameters!$B$3,2,IF(L47&gt;=Parameters!$B$4,1,0)),0)+IF(ISNUMBER(AW47),IF(AW47&gt;0,IF(AND(ISNUMBER(AM47),AM47&gt;=Parameters!$B$5),2,1),0),0)+IF(ISNUMBER(AX47),IF(AND(AX47&gt;0,ISNUMBER(AY47),AY47&gt;=Parameters!$B$6),1,0),0)+IF(ISNUMBER(AO47),IF(AND(AO47&gt;0,AO47&lt;=Parameters!$B$7),1,0),0)+IF(ISNUMBER(F47),IF(F47&gt;=Parameters!$B$8,1,0),0)</f>
        <v>5</v>
      </c>
      <c r="BF47" s="10" t="str">
        <f aca="false">IF(BD47=1,"ETF",IF(OR(AND(ISNUMBER(L47),L47&gt;=Parameters!$B$10),BE47&gt;=Parameters!$B$9),"Established","Early"))</f>
        <v>Established</v>
      </c>
      <c r="BG47" s="10" t="n">
        <f aca="false">IF(LEFT(AH47,6)="Golden",2,IF(LEFT(AH47,5)="Death",-2,0))</f>
        <v>2</v>
      </c>
      <c r="BH47" s="10" t="n">
        <f aca="false">IF(ISNUMBER(AG47),IF(AG47&gt;Parameters!$B$12,2,IF(AG47&gt;0,1,IF(AG47&gt;=Parameters!$B$13,-1,-2))),0)</f>
        <v>2</v>
      </c>
      <c r="BI47" s="10" t="n">
        <f aca="false">IF(ISNUMBER(AF47),IF(AND(AF47&gt;=Parameters!$B$14,AF47&lt;=Parameters!$B$15),1,IF(OR(AF47&gt;Parameters!$B$16,AF47&lt;Parameters!$B$17),-1,0)),0)</f>
        <v>-1</v>
      </c>
      <c r="BJ47" s="10" t="n">
        <f aca="false">IF(ISNUMBER(AE47),IF(AND(AE47&gt;=Parameters!$B$18,AE47&lt;=Parameters!$B$19),1,IF(OR(AE47&gt;Parameters!$B$20,AE47&lt;Parameters!$B$21),-1,0)),0)</f>
        <v>1</v>
      </c>
      <c r="BK47" s="10" t="n">
        <f aca="false">IF(ISNUMBER(E47),IF(E47&gt;Parameters!$B$22,1,IF(E47&lt;Parameters!$B$23,-1,0)),0)</f>
        <v>1</v>
      </c>
      <c r="BL47" s="10" t="n">
        <f aca="false">IF(ISNUMBER(C47),IF(C47&gt;=Parameters!$B$24,1,IF(C47&lt;=Parameters!$B$25,-1,0)),0)</f>
        <v>0</v>
      </c>
      <c r="BM47" s="10" t="n">
        <f aca="false">IF(ISNUMBER(AJ47),IF(AND(AJ47&gt;Parameters!$B$26,ISNUMBER(U47)),IF(U47&lt;0,-1,1),0),0)</f>
        <v>0</v>
      </c>
      <c r="BN47" s="10" t="n">
        <f aca="false">IF(ISNUMBER(AD47),IF(AD47&gt;Parameters!$B$27,1,IF(AD47&lt;Parameters!$B$28,-1,0)),0)</f>
        <v>-1</v>
      </c>
      <c r="BO47" s="17" t="n">
        <f aca="false">BG47+BH47+BI47+BJ47+BK47+BL47+BM47+BN47</f>
        <v>4</v>
      </c>
      <c r="BP47" s="10" t="n">
        <f aca="false">IF(ISNUMBER(F47),IF(F47&gt;=Parameters!$B$30,2,IF(F47&gt;=Parameters!$B$31,1,IF(F47&lt;=Parameters!$B$32,-1,0))),0)</f>
        <v>2</v>
      </c>
      <c r="BQ47" s="10" t="n">
        <f aca="false">IF(ISNUMBER(AK47),IF(AK47&gt;Parameters!$B$33,1,IF(AK47&lt;0,-1,0)),0)</f>
        <v>1</v>
      </c>
      <c r="BR47" s="10" t="n">
        <f aca="false">IF(ISNUMBER(AL47),IF(AL47&gt;Parameters!$B$34,1,IF(AL47&lt;0,-1,0)),0)</f>
        <v>1</v>
      </c>
      <c r="BS47" s="10" t="n">
        <f aca="false">IF(ISNUMBER(AP47),IF(AND(AP47&gt;0,AP47&lt;=Parameters!$B$35),1,IF(AP47&gt;Parameters!$B$36,-1,0)),0)</f>
        <v>1</v>
      </c>
      <c r="BT47" s="10" t="n">
        <f aca="false">IF(ISNUMBER(AY47),IF(AY47&gt;Parameters!$B$37,1,IF(AY47&lt;0,-1,0)),0)</f>
        <v>-1</v>
      </c>
      <c r="BU47" s="10" t="n">
        <f aca="false">IF(ISNUMBER(AZ47),IF(AZ47&gt;0,1,0),0)</f>
        <v>0</v>
      </c>
      <c r="BV47" s="10" t="n">
        <f aca="false">IF(ISNUMBER(AL47),IF(AL47&gt;Parameters!$B$39,2,IF(AL47&gt;Parameters!$B$40,1,IF(AL47&lt;0,-2,IF(AL47&lt;Parameters!$B$41,-1,0)))),0)</f>
        <v>2</v>
      </c>
      <c r="BW47" s="10" t="n">
        <f aca="false">IF(ISNUMBER(AV47),IF(AV47&gt;Parameters!$B$42,1,IF(AV47&lt;Parameters!$B$43,-1,0)),0)</f>
        <v>-1</v>
      </c>
      <c r="BX47" s="10" t="n">
        <f aca="false">IF(AND(ISNUMBER(AX47),AX47&gt;0),1,IF(AND(ISNUMBER(AY47),AY47&lt;Parameters!$B$44),-1,0))</f>
        <v>-1</v>
      </c>
      <c r="BY47" s="10" t="n">
        <f aca="false">IF(ISNUMBER(AW47),IF(AW47&gt;0,1,0),0)</f>
        <v>1</v>
      </c>
      <c r="BZ47" s="10" t="n">
        <f aca="false">IF(ISNUMBER(AQ47),IF(AQ47&gt;Parameters!$B$46,-2,IF(AQ47&gt;Parameters!$B$45,-1,0)),0)</f>
        <v>-1</v>
      </c>
      <c r="CA47" s="10" t="n">
        <f aca="false">IF(ISNUMBER(F47),IF(F47&gt;=Parameters!$B$47,1,IF(F47&lt;=Parameters!$B$48,-1,0)),0)</f>
        <v>1</v>
      </c>
      <c r="CB47" s="17" t="n">
        <f aca="false">IF(BF47="Established",BP47+BQ47+BR47+BS47+BT47+BU47,IF(BF47="Early",BV47+BW47+BX47+BY47+BZ47+CA47,0))</f>
        <v>4</v>
      </c>
      <c r="CC47" s="18" t="n">
        <f aca="false">IF(BF47="Established",BO47+CB47,IF(BF47="Early",BO47+Parameters!$B$50*CB47,BO47))</f>
        <v>8</v>
      </c>
      <c r="CD47" s="17" t="n">
        <f aca="false">IF(BF47="Established",IF(CC47&gt;=Parameters!$B$51,6,IF(CC47&gt;=Parameters!$B$52,5,IF(CC47&gt;=Parameters!$B$53,4,IF(CC47&gt;=Parameters!$B$54,3,IF(CC47&gt;=Parameters!$B$55,2,1))))),IF(BF47="Early",IF(CC47&gt;=Parameters!$B$56,5,IF(CC47&gt;=Parameters!$B$57,4,IF(CC47&gt;=Parameters!$B$58,3,IF(CC47&gt;=Parameters!$B$59,2,1)))),IF(CC47&gt;=Parameters!$B$60,6,IF(CC47&gt;=Parameters!$B$61,5,IF(CC47&gt;=Parameters!$B$62,4,IF(CC47&gt;=Parameters!$B$63,3,IF(CC47&gt;=Parameters!$B$64,2,1)))))))</f>
        <v>4</v>
      </c>
      <c r="CE47" s="10" t="n">
        <f aca="false">IF(AND(ISNUMBER(AR47),AR47&lt;Parameters!$B$66),1,0)</f>
        <v>0</v>
      </c>
      <c r="CF47" s="10" t="n">
        <f aca="false">IF(AND(LEFT(AH47,5)="Death",ISNUMBER(AG47)),IF(BF47="Early",IF(AND(AG47&lt;Parameters!$B$70,ISNUMBER(U47),U47&lt;Parameters!$B$71),1,0),IF(AND(AG47&lt;Parameters!$B$67,OR(AND(ISNUMBER(U47),U47&lt;Parameters!$B$68),AND(ISNUMBER(V47),V47&lt;Parameters!$B$69))),1,0)),0)</f>
        <v>0</v>
      </c>
      <c r="CG47" s="10" t="n">
        <f aca="false">IF(AND(ISNUMBER(AG47),AG47&lt;0),1,0)</f>
        <v>0</v>
      </c>
      <c r="CH47" s="10" t="n">
        <f aca="false">IF(OR(AND(ISNUMBER(U47),U47&gt;Parameters!$B$74),AND(ISNUMBER(AF47),AF47&gt;Parameters!$B$75),AND(ISNUMBER(AE47),AE47&gt;Parameters!$B$76)),1,0)</f>
        <v>1</v>
      </c>
      <c r="CI47" s="10" t="n">
        <f aca="false">IF(AND(ISNUMBER(BC47),BC47&gt;=0,BC47&lt;=Parameters!$B$77),1,0)</f>
        <v>0</v>
      </c>
      <c r="CJ47" s="17" t="n">
        <f aca="false">IF(CF47=1,1,MIN(CD47,IF(CE47=1,3,6),IF(CG47=1,IF(BF47="Early",Parameters!$B$73,Parameters!$B$72),6),IF(CH47=1,3,6),IF(CI47=1,3,6)))</f>
        <v>3</v>
      </c>
      <c r="CK47" s="10" t="str">
        <f aca="false">INDEX(Parameters!$F$2:$F$7,CJ47)</f>
        <v>Hold</v>
      </c>
      <c r="CL47" s="10" t="str">
        <f aca="false">IF(CF47=1,"Hard sell: breakdown; ","")&amp;IF(CE47=1,"Insufficient history; ","")&amp;IF(AND(CF47=0,CG47=1),"Below 200D; ","")&amp;IF(CH47=1,"Extended - wait for pullback; ","")&amp;IF(CI47=1,"Earnings within "&amp;Parameters!$B$77&amp;"d; ","")</f>
        <v>Extended - wait for pullback; </v>
      </c>
    </row>
    <row r="48" customFormat="false" ht="15" hidden="false" customHeight="false" outlineLevel="0" collapsed="false">
      <c r="A48" s="10" t="s">
        <v>423</v>
      </c>
      <c r="B48" s="10" t="n">
        <v>6</v>
      </c>
      <c r="C48" s="10" t="n">
        <v>4</v>
      </c>
      <c r="D48" s="10" t="n">
        <v>32.6</v>
      </c>
      <c r="E48" s="10" t="n">
        <v>-0.8</v>
      </c>
      <c r="F48" s="10" t="n">
        <v>9</v>
      </c>
      <c r="G48" s="10" t="s">
        <v>424</v>
      </c>
      <c r="H48" s="10" t="s">
        <v>425</v>
      </c>
      <c r="I48" s="10" t="n">
        <v>82.42</v>
      </c>
      <c r="J48" s="10" t="s">
        <v>295</v>
      </c>
      <c r="K48" s="10" t="s">
        <v>426</v>
      </c>
      <c r="L48" s="15" t="n">
        <v>172406098973</v>
      </c>
      <c r="M48" s="16" t="n">
        <v>46226</v>
      </c>
      <c r="N48" s="10" t="n">
        <v>6.02</v>
      </c>
      <c r="O48" s="16" t="n">
        <v>46317</v>
      </c>
      <c r="P48" s="10" t="s">
        <v>297</v>
      </c>
      <c r="Q48" s="10" t="n">
        <v>-0.28</v>
      </c>
      <c r="R48" s="10" t="n">
        <v>-1.41</v>
      </c>
      <c r="S48" s="10" t="n">
        <v>-0.82</v>
      </c>
      <c r="T48" s="10" t="n">
        <v>-2.14</v>
      </c>
      <c r="U48" s="10" t="n">
        <v>-3.87</v>
      </c>
      <c r="V48" s="10" t="n">
        <v>-3.17</v>
      </c>
      <c r="W48" s="10" t="n">
        <v>-10.08</v>
      </c>
      <c r="X48" s="10" t="n">
        <v>17.63</v>
      </c>
      <c r="Y48" s="10"/>
      <c r="Z48" s="10"/>
      <c r="AA48" s="10"/>
      <c r="AB48" s="10"/>
      <c r="AC48" s="10" t="n">
        <v>-7.81</v>
      </c>
      <c r="AD48" s="10" t="n">
        <v>-16.54</v>
      </c>
      <c r="AE48" s="10" t="n">
        <v>36.97</v>
      </c>
      <c r="AF48" s="10" t="n">
        <v>-4.42</v>
      </c>
      <c r="AG48" s="10" t="n">
        <v>-6.12</v>
      </c>
      <c r="AH48" s="10" t="s">
        <v>427</v>
      </c>
      <c r="AI48" s="10" t="n">
        <v>0.01</v>
      </c>
      <c r="AJ48" s="10" t="n">
        <v>-21.34</v>
      </c>
      <c r="AK48" s="10" t="n">
        <v>55</v>
      </c>
      <c r="AL48" s="10" t="n">
        <v>12.4</v>
      </c>
      <c r="AM48" s="10" t="n">
        <v>32.4</v>
      </c>
      <c r="AN48" s="10" t="n">
        <v>11.68</v>
      </c>
      <c r="AO48" s="10" t="n">
        <v>19.15</v>
      </c>
      <c r="AP48" s="10" t="n">
        <v>0.36</v>
      </c>
      <c r="AQ48" s="10" t="n">
        <v>0</v>
      </c>
      <c r="AR48" s="10" t="n">
        <v>300</v>
      </c>
      <c r="AS48" s="16" t="n">
        <v>46275</v>
      </c>
      <c r="AT48" s="15" t="n">
        <v>28700000256</v>
      </c>
      <c r="AU48" s="15" t="n">
        <v>17514000384</v>
      </c>
      <c r="AV48" s="10" t="n">
        <v>61.02</v>
      </c>
      <c r="AW48" s="15" t="n">
        <v>9299000320</v>
      </c>
      <c r="AX48" s="15" t="n">
        <v>-17766875136</v>
      </c>
      <c r="AY48" s="10" t="n">
        <v>-61.91</v>
      </c>
      <c r="AZ48" s="15" t="n">
        <v>-107330998272</v>
      </c>
      <c r="BA48" s="10" t="n">
        <v>18.81</v>
      </c>
      <c r="BB48" s="10" t="n">
        <v>44.42</v>
      </c>
      <c r="BC48" s="17" t="n">
        <f aca="false">IF(AND(ISNUMBER(O48),ISNUMBER(AS48)),O48-AS48,"")</f>
        <v>42</v>
      </c>
      <c r="BD48" s="10" t="n">
        <f aca="false">IF(OR(ISNUMBER(SEARCH("ETF",H48)),AND(F48="",AO48="")),1,0)</f>
        <v>0</v>
      </c>
      <c r="BE48" s="17" t="n">
        <f aca="false">IF(ISNUMBER(L48),IF(L48&gt;=Parameters!$B$3,2,IF(L48&gt;=Parameters!$B$4,1,0)),0)+IF(ISNUMBER(AW48),IF(AW48&gt;0,IF(AND(ISNUMBER(AM48),AM48&gt;=Parameters!$B$5),2,1),0),0)+IF(ISNUMBER(AX48),IF(AND(AX48&gt;0,ISNUMBER(AY48),AY48&gt;=Parameters!$B$6),1,0),0)+IF(ISNUMBER(AO48),IF(AND(AO48&gt;0,AO48&lt;=Parameters!$B$7),1,0),0)+IF(ISNUMBER(F48),IF(F48&gt;=Parameters!$B$8,1,0),0)</f>
        <v>6</v>
      </c>
      <c r="BF48" s="10" t="str">
        <f aca="false">IF(BD48=1,"ETF",IF(OR(AND(ISNUMBER(L48),L48&gt;=Parameters!$B$10),BE48&gt;=Parameters!$B$9),"Established","Early"))</f>
        <v>Established</v>
      </c>
      <c r="BG48" s="10" t="n">
        <f aca="false">IF(LEFT(AH48,6)="Golden",2,IF(LEFT(AH48,5)="Death",-2,0))</f>
        <v>-2</v>
      </c>
      <c r="BH48" s="10" t="n">
        <f aca="false">IF(ISNUMBER(AG48),IF(AG48&gt;Parameters!$B$12,2,IF(AG48&gt;0,1,IF(AG48&gt;=Parameters!$B$13,-1,-2))),0)</f>
        <v>-1</v>
      </c>
      <c r="BI48" s="10" t="n">
        <f aca="false">IF(ISNUMBER(AF48),IF(AND(AF48&gt;=Parameters!$B$14,AF48&lt;=Parameters!$B$15),1,IF(OR(AF48&gt;Parameters!$B$16,AF48&lt;Parameters!$B$17),-1,0)),0)</f>
        <v>0</v>
      </c>
      <c r="BJ48" s="10" t="n">
        <f aca="false">IF(ISNUMBER(AE48),IF(AND(AE48&gt;=Parameters!$B$18,AE48&lt;=Parameters!$B$19),1,IF(OR(AE48&gt;Parameters!$B$20,AE48&lt;Parameters!$B$21),-1,0)),0)</f>
        <v>0</v>
      </c>
      <c r="BK48" s="10" t="n">
        <f aca="false">IF(ISNUMBER(E48),IF(E48&gt;Parameters!$B$22,1,IF(E48&lt;Parameters!$B$23,-1,0)),0)</f>
        <v>0</v>
      </c>
      <c r="BL48" s="10" t="n">
        <f aca="false">IF(ISNUMBER(C48),IF(C48&gt;=Parameters!$B$24,1,IF(C48&lt;=Parameters!$B$25,-1,0)),0)</f>
        <v>0</v>
      </c>
      <c r="BM48" s="10" t="n">
        <f aca="false">IF(ISNUMBER(AJ48),IF(AND(AJ48&gt;Parameters!$B$26,ISNUMBER(U48)),IF(U48&lt;0,-1,1),0),0)</f>
        <v>0</v>
      </c>
      <c r="BN48" s="10" t="n">
        <f aca="false">IF(ISNUMBER(AD48),IF(AD48&gt;Parameters!$B$27,1,IF(AD48&lt;Parameters!$B$28,-1,0)),0)</f>
        <v>0</v>
      </c>
      <c r="BO48" s="17" t="n">
        <f aca="false">BG48+BH48+BI48+BJ48+BK48+BL48+BM48+BN48</f>
        <v>-3</v>
      </c>
      <c r="BP48" s="10" t="n">
        <f aca="false">IF(ISNUMBER(F48),IF(F48&gt;=Parameters!$B$30,2,IF(F48&gt;=Parameters!$B$31,1,IF(F48&lt;=Parameters!$B$32,-1,0))),0)</f>
        <v>2</v>
      </c>
      <c r="BQ48" s="10" t="n">
        <f aca="false">IF(ISNUMBER(AK48),IF(AK48&gt;Parameters!$B$33,1,IF(AK48&lt;0,-1,0)),0)</f>
        <v>1</v>
      </c>
      <c r="BR48" s="10" t="n">
        <f aca="false">IF(ISNUMBER(AL48),IF(AL48&gt;Parameters!$B$34,1,IF(AL48&lt;0,-1,0)),0)</f>
        <v>1</v>
      </c>
      <c r="BS48" s="10" t="n">
        <f aca="false">IF(ISNUMBER(AP48),IF(AND(AP48&gt;0,AP48&lt;=Parameters!$B$35),1,IF(AP48&gt;Parameters!$B$36,-1,0)),0)</f>
        <v>1</v>
      </c>
      <c r="BT48" s="10" t="n">
        <f aca="false">IF(ISNUMBER(AY48),IF(AY48&gt;Parameters!$B$37,1,IF(AY48&lt;0,-1,0)),0)</f>
        <v>-1</v>
      </c>
      <c r="BU48" s="10" t="n">
        <f aca="false">IF(ISNUMBER(AZ48),IF(AZ48&gt;0,1,0),0)</f>
        <v>0</v>
      </c>
      <c r="BV48" s="10" t="n">
        <f aca="false">IF(ISNUMBER(AL48),IF(AL48&gt;Parameters!$B$39,2,IF(AL48&gt;Parameters!$B$40,1,IF(AL48&lt;0,-2,IF(AL48&lt;Parameters!$B$41,-1,0)))),0)</f>
        <v>0</v>
      </c>
      <c r="BW48" s="10" t="n">
        <f aca="false">IF(ISNUMBER(AV48),IF(AV48&gt;Parameters!$B$42,1,IF(AV48&lt;Parameters!$B$43,-1,0)),0)</f>
        <v>1</v>
      </c>
      <c r="BX48" s="10" t="n">
        <f aca="false">IF(AND(ISNUMBER(AX48),AX48&gt;0),1,IF(AND(ISNUMBER(AY48),AY48&lt;Parameters!$B$44),-1,0))</f>
        <v>-1</v>
      </c>
      <c r="BY48" s="10" t="n">
        <f aca="false">IF(ISNUMBER(AW48),IF(AW48&gt;0,1,0),0)</f>
        <v>1</v>
      </c>
      <c r="BZ48" s="10" t="n">
        <f aca="false">IF(ISNUMBER(AQ48),IF(AQ48&gt;Parameters!$B$46,-2,IF(AQ48&gt;Parameters!$B$45,-1,0)),0)</f>
        <v>0</v>
      </c>
      <c r="CA48" s="10" t="n">
        <f aca="false">IF(ISNUMBER(F48),IF(F48&gt;=Parameters!$B$47,1,IF(F48&lt;=Parameters!$B$48,-1,0)),0)</f>
        <v>1</v>
      </c>
      <c r="CB48" s="17" t="n">
        <f aca="false">IF(BF48="Established",BP48+BQ48+BR48+BS48+BT48+BU48,IF(BF48="Early",BV48+BW48+BX48+BY48+BZ48+CA48,0))</f>
        <v>4</v>
      </c>
      <c r="CC48" s="18" t="n">
        <f aca="false">IF(BF48="Established",BO48+CB48,IF(BF48="Early",BO48+Parameters!$B$50*CB48,BO48))</f>
        <v>1</v>
      </c>
      <c r="CD48" s="17" t="n">
        <f aca="false">IF(BF48="Established",IF(CC48&gt;=Parameters!$B$51,6,IF(CC48&gt;=Parameters!$B$52,5,IF(CC48&gt;=Parameters!$B$53,4,IF(CC48&gt;=Parameters!$B$54,3,IF(CC48&gt;=Parameters!$B$55,2,1))))),IF(BF48="Early",IF(CC48&gt;=Parameters!$B$56,5,IF(CC48&gt;=Parameters!$B$57,4,IF(CC48&gt;=Parameters!$B$58,3,IF(CC48&gt;=Parameters!$B$59,2,1)))),IF(CC48&gt;=Parameters!$B$60,6,IF(CC48&gt;=Parameters!$B$61,5,IF(CC48&gt;=Parameters!$B$62,4,IF(CC48&gt;=Parameters!$B$63,3,IF(CC48&gt;=Parameters!$B$64,2,1)))))))</f>
        <v>3</v>
      </c>
      <c r="CE48" s="10" t="n">
        <f aca="false">IF(AND(ISNUMBER(AR48),AR48&lt;Parameters!$B$66),1,0)</f>
        <v>0</v>
      </c>
      <c r="CF48" s="10" t="n">
        <f aca="false">IF(AND(LEFT(AH48,5)="Death",ISNUMBER(AG48)),IF(BF48="Early",IF(AND(AG48&lt;Parameters!$B$70,ISNUMBER(U48),U48&lt;Parameters!$B$71),1,0),IF(AND(AG48&lt;Parameters!$B$67,OR(AND(ISNUMBER(U48),U48&lt;Parameters!$B$68),AND(ISNUMBER(V48),V48&lt;Parameters!$B$69))),1,0)),0)</f>
        <v>0</v>
      </c>
      <c r="CG48" s="10" t="n">
        <f aca="false">IF(AND(ISNUMBER(AG48),AG48&lt;0),1,0)</f>
        <v>1</v>
      </c>
      <c r="CH48" s="10" t="n">
        <f aca="false">IF(OR(AND(ISNUMBER(U48),U48&gt;Parameters!$B$74),AND(ISNUMBER(AF48),AF48&gt;Parameters!$B$75),AND(ISNUMBER(AE48),AE48&gt;Parameters!$B$76)),1,0)</f>
        <v>0</v>
      </c>
      <c r="CI48" s="10" t="n">
        <f aca="false">IF(AND(ISNUMBER(BC48),BC48&gt;=0,BC48&lt;=Parameters!$B$77),1,0)</f>
        <v>0</v>
      </c>
      <c r="CJ48" s="17" t="n">
        <f aca="false">IF(CF48=1,1,MIN(CD48,IF(CE48=1,3,6),IF(CG48=1,IF(BF48="Early",Parameters!$B$73,Parameters!$B$72),6),IF(CH48=1,3,6),IF(CI48=1,3,6)))</f>
        <v>3</v>
      </c>
      <c r="CK48" s="10" t="str">
        <f aca="false">INDEX(Parameters!$F$2:$F$7,CJ48)</f>
        <v>Hold</v>
      </c>
      <c r="CL48" s="10" t="str">
        <f aca="false">IF(CF48=1,"Hard sell: breakdown; ","")&amp;IF(CE48=1,"Insufficient history; ","")&amp;IF(AND(CF48=0,CG48=1),"Below 200D; ","")&amp;IF(CH48=1,"Extended - wait for pullback; ","")&amp;IF(CI48=1,"Earnings within "&amp;Parameters!$B$77&amp;"d; ","")</f>
        <v>Below 200D; </v>
      </c>
    </row>
    <row r="49" customFormat="false" ht="15" hidden="false" customHeight="false" outlineLevel="0" collapsed="false">
      <c r="A49" s="10" t="s">
        <v>428</v>
      </c>
      <c r="B49" s="10" t="n">
        <v>5</v>
      </c>
      <c r="C49" s="10" t="n">
        <v>5</v>
      </c>
      <c r="D49" s="10" t="n">
        <v>46</v>
      </c>
      <c r="E49" s="10" t="n">
        <v>3.7</v>
      </c>
      <c r="F49" s="10"/>
      <c r="G49" s="10" t="s">
        <v>429</v>
      </c>
      <c r="H49" s="10" t="s">
        <v>349</v>
      </c>
      <c r="I49" s="10" t="n">
        <v>304.32</v>
      </c>
      <c r="J49" s="10" t="s">
        <v>295</v>
      </c>
      <c r="K49" s="10"/>
      <c r="L49" s="15"/>
      <c r="M49" s="16" t="n">
        <v>46069</v>
      </c>
      <c r="N49" s="10" t="n">
        <v>-94.56</v>
      </c>
      <c r="O49" s="16" t="n">
        <v>46160</v>
      </c>
      <c r="P49" s="10" t="s">
        <v>297</v>
      </c>
      <c r="Q49" s="10" t="n">
        <v>-1.61</v>
      </c>
      <c r="R49" s="10" t="n">
        <v>0.19</v>
      </c>
      <c r="S49" s="10" t="n">
        <v>2.45</v>
      </c>
      <c r="T49" s="10" t="n">
        <v>0.1</v>
      </c>
      <c r="U49" s="10" t="n">
        <v>-1.31</v>
      </c>
      <c r="V49" s="10" t="n">
        <v>-0.2</v>
      </c>
      <c r="W49" s="10" t="n">
        <v>22.32</v>
      </c>
      <c r="X49" s="10" t="n">
        <v>22.49</v>
      </c>
      <c r="Y49" s="10"/>
      <c r="Z49" s="10"/>
      <c r="AA49" s="10"/>
      <c r="AB49" s="10"/>
      <c r="AC49" s="10" t="n">
        <v>-4.84</v>
      </c>
      <c r="AD49" s="10" t="n">
        <v>-11.94</v>
      </c>
      <c r="AE49" s="10" t="n">
        <v>48.55</v>
      </c>
      <c r="AF49" s="10" t="n">
        <v>-1.23</v>
      </c>
      <c r="AG49" s="10" t="n">
        <v>8.71</v>
      </c>
      <c r="AH49" s="10" t="s">
        <v>301</v>
      </c>
      <c r="AI49" s="10" t="n">
        <v>0.69</v>
      </c>
      <c r="AJ49" s="10" t="n">
        <v>-35.68</v>
      </c>
      <c r="AK49" s="10"/>
      <c r="AL49" s="10"/>
      <c r="AM49" s="10"/>
      <c r="AN49" s="10"/>
      <c r="AO49" s="10"/>
      <c r="AP49" s="10"/>
      <c r="AQ49" s="10"/>
      <c r="AR49" s="10" t="n">
        <v>300</v>
      </c>
      <c r="AS49" s="16" t="n">
        <v>46275</v>
      </c>
      <c r="AT49" s="15" t="n">
        <v>0</v>
      </c>
      <c r="AU49" s="15" t="n">
        <v>0</v>
      </c>
      <c r="AV49" s="10"/>
      <c r="AW49" s="15" t="n">
        <v>0</v>
      </c>
      <c r="AX49" s="15" t="n">
        <v>0</v>
      </c>
      <c r="AY49" s="10"/>
      <c r="AZ49" s="15" t="n">
        <v>0</v>
      </c>
      <c r="BA49" s="10" t="n">
        <v>32.65</v>
      </c>
      <c r="BB49" s="10" t="n">
        <v>64.47</v>
      </c>
      <c r="BC49" s="17" t="n">
        <f aca="false">IF(AND(ISNUMBER(O49),ISNUMBER(AS49)),O49-AS49,"")</f>
        <v>-115</v>
      </c>
      <c r="BD49" s="10" t="n">
        <f aca="false">IF(OR(ISNUMBER(SEARCH("ETF",H49)),AND(F49="",AO49="")),1,0)</f>
        <v>1</v>
      </c>
      <c r="BE49" s="17" t="n">
        <f aca="false">IF(ISNUMBER(L49),IF(L49&gt;=Parameters!$B$3,2,IF(L49&gt;=Parameters!$B$4,1,0)),0)+IF(ISNUMBER(AW49),IF(AW49&gt;0,IF(AND(ISNUMBER(AM49),AM49&gt;=Parameters!$B$5),2,1),0),0)+IF(ISNUMBER(AX49),IF(AND(AX49&gt;0,ISNUMBER(AY49),AY49&gt;=Parameters!$B$6),1,0),0)+IF(ISNUMBER(AO49),IF(AND(AO49&gt;0,AO49&lt;=Parameters!$B$7),1,0),0)+IF(ISNUMBER(F49),IF(F49&gt;=Parameters!$B$8,1,0),0)</f>
        <v>0</v>
      </c>
      <c r="BF49" s="10" t="str">
        <f aca="false">IF(BD49=1,"ETF",IF(OR(AND(ISNUMBER(L49),L49&gt;=Parameters!$B$10),BE49&gt;=Parameters!$B$9),"Established","Early"))</f>
        <v>ETF</v>
      </c>
      <c r="BG49" s="10" t="n">
        <f aca="false">IF(LEFT(AH49,6)="Golden",2,IF(LEFT(AH49,5)="Death",-2,0))</f>
        <v>2</v>
      </c>
      <c r="BH49" s="10" t="n">
        <f aca="false">IF(ISNUMBER(AG49),IF(AG49&gt;Parameters!$B$12,2,IF(AG49&gt;0,1,IF(AG49&gt;=Parameters!$B$13,-1,-2))),0)</f>
        <v>1</v>
      </c>
      <c r="BI49" s="10" t="n">
        <f aca="false">IF(ISNUMBER(AF49),IF(AND(AF49&gt;=Parameters!$B$14,AF49&lt;=Parameters!$B$15),1,IF(OR(AF49&gt;Parameters!$B$16,AF49&lt;Parameters!$B$17),-1,0)),0)</f>
        <v>1</v>
      </c>
      <c r="BJ49" s="10" t="n">
        <f aca="false">IF(ISNUMBER(AE49),IF(AND(AE49&gt;=Parameters!$B$18,AE49&lt;=Parameters!$B$19),1,IF(OR(AE49&gt;Parameters!$B$20,AE49&lt;Parameters!$B$21),-1,0)),0)</f>
        <v>1</v>
      </c>
      <c r="BK49" s="10" t="n">
        <f aca="false">IF(ISNUMBER(E49),IF(E49&gt;Parameters!$B$22,1,IF(E49&lt;Parameters!$B$23,-1,0)),0)</f>
        <v>1</v>
      </c>
      <c r="BL49" s="10" t="n">
        <f aca="false">IF(ISNUMBER(C49),IF(C49&gt;=Parameters!$B$24,1,IF(C49&lt;=Parameters!$B$25,-1,0)),0)</f>
        <v>0</v>
      </c>
      <c r="BM49" s="10" t="n">
        <f aca="false">IF(ISNUMBER(AJ49),IF(AND(AJ49&gt;Parameters!$B$26,ISNUMBER(U49)),IF(U49&lt;0,-1,1),0),0)</f>
        <v>0</v>
      </c>
      <c r="BN49" s="10" t="n">
        <f aca="false">IF(ISNUMBER(AD49),IF(AD49&gt;Parameters!$B$27,1,IF(AD49&lt;Parameters!$B$28,-1,0)),0)</f>
        <v>0</v>
      </c>
      <c r="BO49" s="17" t="n">
        <f aca="false">BG49+BH49+BI49+BJ49+BK49+BL49+BM49+BN49</f>
        <v>6</v>
      </c>
      <c r="BP49" s="10" t="n">
        <f aca="false">IF(ISNUMBER(F49),IF(F49&gt;=Parameters!$B$30,2,IF(F49&gt;=Parameters!$B$31,1,IF(F49&lt;=Parameters!$B$32,-1,0))),0)</f>
        <v>0</v>
      </c>
      <c r="BQ49" s="10" t="n">
        <f aca="false">IF(ISNUMBER(AK49),IF(AK49&gt;Parameters!$B$33,1,IF(AK49&lt;0,-1,0)),0)</f>
        <v>0</v>
      </c>
      <c r="BR49" s="10" t="n">
        <f aca="false">IF(ISNUMBER(AL49),IF(AL49&gt;Parameters!$B$34,1,IF(AL49&lt;0,-1,0)),0)</f>
        <v>0</v>
      </c>
      <c r="BS49" s="10" t="n">
        <f aca="false">IF(ISNUMBER(AP49),IF(AND(AP49&gt;0,AP49&lt;=Parameters!$B$35),1,IF(AP49&gt;Parameters!$B$36,-1,0)),0)</f>
        <v>0</v>
      </c>
      <c r="BT49" s="10" t="n">
        <f aca="false">IF(ISNUMBER(AY49),IF(AY49&gt;Parameters!$B$37,1,IF(AY49&lt;0,-1,0)),0)</f>
        <v>0</v>
      </c>
      <c r="BU49" s="10" t="n">
        <f aca="false">IF(ISNUMBER(AZ49),IF(AZ49&gt;0,1,0),0)</f>
        <v>0</v>
      </c>
      <c r="BV49" s="10" t="n">
        <f aca="false">IF(ISNUMBER(AL49),IF(AL49&gt;Parameters!$B$39,2,IF(AL49&gt;Parameters!$B$40,1,IF(AL49&lt;0,-2,IF(AL49&lt;Parameters!$B$41,-1,0)))),0)</f>
        <v>0</v>
      </c>
      <c r="BW49" s="10" t="n">
        <f aca="false">IF(ISNUMBER(AV49),IF(AV49&gt;Parameters!$B$42,1,IF(AV49&lt;Parameters!$B$43,-1,0)),0)</f>
        <v>0</v>
      </c>
      <c r="BX49" s="10" t="n">
        <f aca="false">IF(AND(ISNUMBER(AX49),AX49&gt;0),1,IF(AND(ISNUMBER(AY49),AY49&lt;Parameters!$B$44),-1,0))</f>
        <v>0</v>
      </c>
      <c r="BY49" s="10" t="n">
        <f aca="false">IF(ISNUMBER(AW49),IF(AW49&gt;0,1,0),0)</f>
        <v>0</v>
      </c>
      <c r="BZ49" s="10" t="n">
        <f aca="false">IF(ISNUMBER(AQ49),IF(AQ49&gt;Parameters!$B$46,-2,IF(AQ49&gt;Parameters!$B$45,-1,0)),0)</f>
        <v>0</v>
      </c>
      <c r="CA49" s="10" t="n">
        <f aca="false">IF(ISNUMBER(F49),IF(F49&gt;=Parameters!$B$47,1,IF(F49&lt;=Parameters!$B$48,-1,0)),0)</f>
        <v>0</v>
      </c>
      <c r="CB49" s="17" t="n">
        <f aca="false">IF(BF49="Established",BP49+BQ49+BR49+BS49+BT49+BU49,IF(BF49="Early",BV49+BW49+BX49+BY49+BZ49+CA49,0))</f>
        <v>0</v>
      </c>
      <c r="CC49" s="18" t="n">
        <f aca="false">IF(BF49="Established",BO49+CB49,IF(BF49="Early",BO49+Parameters!$B$50*CB49,BO49))</f>
        <v>6</v>
      </c>
      <c r="CD49" s="17" t="n">
        <f aca="false">IF(BF49="Established",IF(CC49&gt;=Parameters!$B$51,6,IF(CC49&gt;=Parameters!$B$52,5,IF(CC49&gt;=Parameters!$B$53,4,IF(CC49&gt;=Parameters!$B$54,3,IF(CC49&gt;=Parameters!$B$55,2,1))))),IF(BF49="Early",IF(CC49&gt;=Parameters!$B$56,5,IF(CC49&gt;=Parameters!$B$57,4,IF(CC49&gt;=Parameters!$B$58,3,IF(CC49&gt;=Parameters!$B$59,2,1)))),IF(CC49&gt;=Parameters!$B$60,6,IF(CC49&gt;=Parameters!$B$61,5,IF(CC49&gt;=Parameters!$B$62,4,IF(CC49&gt;=Parameters!$B$63,3,IF(CC49&gt;=Parameters!$B$64,2,1)))))))</f>
        <v>5</v>
      </c>
      <c r="CE49" s="10" t="n">
        <f aca="false">IF(AND(ISNUMBER(AR49),AR49&lt;Parameters!$B$66),1,0)</f>
        <v>0</v>
      </c>
      <c r="CF49" s="10" t="n">
        <f aca="false">IF(AND(LEFT(AH49,5)="Death",ISNUMBER(AG49)),IF(BF49="Early",IF(AND(AG49&lt;Parameters!$B$70,ISNUMBER(U49),U49&lt;Parameters!$B$71),1,0),IF(AND(AG49&lt;Parameters!$B$67,OR(AND(ISNUMBER(U49),U49&lt;Parameters!$B$68),AND(ISNUMBER(V49),V49&lt;Parameters!$B$69))),1,0)),0)</f>
        <v>0</v>
      </c>
      <c r="CG49" s="10" t="n">
        <f aca="false">IF(AND(ISNUMBER(AG49),AG49&lt;0),1,0)</f>
        <v>0</v>
      </c>
      <c r="CH49" s="10" t="n">
        <f aca="false">IF(OR(AND(ISNUMBER(U49),U49&gt;Parameters!$B$74),AND(ISNUMBER(AF49),AF49&gt;Parameters!$B$75),AND(ISNUMBER(AE49),AE49&gt;Parameters!$B$76)),1,0)</f>
        <v>0</v>
      </c>
      <c r="CI49" s="10" t="n">
        <f aca="false">IF(AND(ISNUMBER(BC49),BC49&gt;=0,BC49&lt;=Parameters!$B$77),1,0)</f>
        <v>0</v>
      </c>
      <c r="CJ49" s="17" t="n">
        <f aca="false">IF(CF49=1,1,MIN(CD49,IF(CE49=1,3,6),IF(CG49=1,IF(BF49="Early",Parameters!$B$73,Parameters!$B$72),6),IF(CH49=1,3,6),IF(CI49=1,3,6)))</f>
        <v>5</v>
      </c>
      <c r="CK49" s="10" t="str">
        <f aca="false">INDEX(Parameters!$F$2:$F$7,CJ49)</f>
        <v>Buy</v>
      </c>
      <c r="CL49" s="10" t="str">
        <f aca="false">IF(CF49=1,"Hard sell: breakdown; ","")&amp;IF(CE49=1,"Insufficient history; ","")&amp;IF(AND(CF49=0,CG49=1),"Below 200D; ","")&amp;IF(CH49=1,"Extended - wait for pullback; ","")&amp;IF(CI49=1,"Earnings within "&amp;Parameters!$B$77&amp;"d; ","")</f>
        <v/>
      </c>
    </row>
    <row r="50" customFormat="false" ht="15" hidden="false" customHeight="false" outlineLevel="0" collapsed="false">
      <c r="A50" s="10" t="s">
        <v>430</v>
      </c>
      <c r="B50" s="10" t="n">
        <v>5</v>
      </c>
      <c r="C50" s="10" t="n">
        <v>6</v>
      </c>
      <c r="D50" s="10" t="n">
        <v>58.4</v>
      </c>
      <c r="E50" s="10" t="n">
        <v>2.5</v>
      </c>
      <c r="F50" s="10" t="n">
        <v>4</v>
      </c>
      <c r="G50" s="10" t="s">
        <v>431</v>
      </c>
      <c r="H50" s="10" t="s">
        <v>386</v>
      </c>
      <c r="I50" s="10" t="n">
        <v>32.89</v>
      </c>
      <c r="J50" s="10" t="s">
        <v>295</v>
      </c>
      <c r="K50" s="10" t="s">
        <v>296</v>
      </c>
      <c r="L50" s="15" t="n">
        <v>29209009485</v>
      </c>
      <c r="M50" s="16" t="n">
        <v>46260</v>
      </c>
      <c r="N50" s="10" t="n">
        <v>20.29</v>
      </c>
      <c r="O50" s="16" t="n">
        <v>46351</v>
      </c>
      <c r="P50" s="10" t="s">
        <v>297</v>
      </c>
      <c r="Q50" s="10" t="n">
        <v>1.53</v>
      </c>
      <c r="R50" s="10" t="n">
        <v>3.91</v>
      </c>
      <c r="S50" s="10" t="n">
        <v>2.8</v>
      </c>
      <c r="T50" s="10" t="n">
        <v>7.75</v>
      </c>
      <c r="U50" s="10" t="n">
        <v>13.12</v>
      </c>
      <c r="V50" s="10" t="n">
        <v>33.19</v>
      </c>
      <c r="W50" s="10" t="n">
        <v>78.14</v>
      </c>
      <c r="X50" s="10" t="n">
        <v>13.24</v>
      </c>
      <c r="Y50" s="10"/>
      <c r="Z50" s="10"/>
      <c r="AA50" s="10"/>
      <c r="AB50" s="10"/>
      <c r="AC50" s="10" t="n">
        <v>28.55</v>
      </c>
      <c r="AD50" s="10" t="n">
        <v>-0.14</v>
      </c>
      <c r="AE50" s="10" t="n">
        <v>63.72</v>
      </c>
      <c r="AF50" s="10" t="n">
        <v>18.34</v>
      </c>
      <c r="AG50" s="10" t="n">
        <v>42.93</v>
      </c>
      <c r="AH50" s="10" t="s">
        <v>432</v>
      </c>
      <c r="AI50" s="10" t="n">
        <v>0.09</v>
      </c>
      <c r="AJ50" s="10" t="n">
        <v>-20.94</v>
      </c>
      <c r="AK50" s="10" t="n">
        <v>-13.4</v>
      </c>
      <c r="AL50" s="10" t="n">
        <v>12.5</v>
      </c>
      <c r="AM50" s="10" t="n">
        <v>4.14</v>
      </c>
      <c r="AN50" s="10" t="n">
        <v>-730.92</v>
      </c>
      <c r="AO50" s="10" t="n">
        <v>9.93</v>
      </c>
      <c r="AP50" s="10" t="n">
        <v>-1.07</v>
      </c>
      <c r="AQ50" s="10" t="n">
        <v>9.03</v>
      </c>
      <c r="AR50" s="10" t="n">
        <v>300</v>
      </c>
      <c r="AS50" s="16" t="n">
        <v>46275</v>
      </c>
      <c r="AT50" s="15" t="n">
        <v>59162001408</v>
      </c>
      <c r="AU50" s="15" t="n">
        <v>11630999552</v>
      </c>
      <c r="AV50" s="10" t="n">
        <v>19.66</v>
      </c>
      <c r="AW50" s="15" t="n">
        <v>2451000064</v>
      </c>
      <c r="AX50" s="15" t="n">
        <v>3389874944</v>
      </c>
      <c r="AY50" s="10" t="n">
        <v>5.73</v>
      </c>
      <c r="AZ50" s="15" t="n">
        <v>-6170000384</v>
      </c>
      <c r="BA50" s="10" t="n">
        <v>87.27</v>
      </c>
      <c r="BB50" s="10" t="n">
        <v>99.71</v>
      </c>
      <c r="BC50" s="17" t="n">
        <f aca="false">IF(AND(ISNUMBER(O50),ISNUMBER(AS50)),O50-AS50,"")</f>
        <v>76</v>
      </c>
      <c r="BD50" s="10" t="n">
        <f aca="false">IF(OR(ISNUMBER(SEARCH("ETF",H50)),AND(F50="",AO50="")),1,0)</f>
        <v>0</v>
      </c>
      <c r="BE50" s="17" t="n">
        <f aca="false">IF(ISNUMBER(L50),IF(L50&gt;=Parameters!$B$3,2,IF(L50&gt;=Parameters!$B$4,1,0)),0)+IF(ISNUMBER(AW50),IF(AW50&gt;0,IF(AND(ISNUMBER(AM50),AM50&gt;=Parameters!$B$5),2,1),0),0)+IF(ISNUMBER(AX50),IF(AND(AX50&gt;0,ISNUMBER(AY50),AY50&gt;=Parameters!$B$6),1,0),0)+IF(ISNUMBER(AO50),IF(AND(AO50&gt;0,AO50&lt;=Parameters!$B$7),1,0),0)+IF(ISNUMBER(F50),IF(F50&gt;=Parameters!$B$8,1,0),0)</f>
        <v>4</v>
      </c>
      <c r="BF50" s="10" t="str">
        <f aca="false">IF(BD50=1,"ETF",IF(OR(AND(ISNUMBER(L50),L50&gt;=Parameters!$B$10),BE50&gt;=Parameters!$B$9),"Established","Early"))</f>
        <v>Early</v>
      </c>
      <c r="BG50" s="10" t="n">
        <f aca="false">IF(LEFT(AH50,6)="Golden",2,IF(LEFT(AH50,5)="Death",-2,0))</f>
        <v>2</v>
      </c>
      <c r="BH50" s="10" t="n">
        <f aca="false">IF(ISNUMBER(AG50),IF(AG50&gt;Parameters!$B$12,2,IF(AG50&gt;0,1,IF(AG50&gt;=Parameters!$B$13,-1,-2))),0)</f>
        <v>2</v>
      </c>
      <c r="BI50" s="10" t="n">
        <f aca="false">IF(ISNUMBER(AF50),IF(AND(AF50&gt;=Parameters!$B$14,AF50&lt;=Parameters!$B$15),1,IF(OR(AF50&gt;Parameters!$B$16,AF50&lt;Parameters!$B$17),-1,0)),0)</f>
        <v>-1</v>
      </c>
      <c r="BJ50" s="10" t="n">
        <f aca="false">IF(ISNUMBER(AE50),IF(AND(AE50&gt;=Parameters!$B$18,AE50&lt;=Parameters!$B$19),1,IF(OR(AE50&gt;Parameters!$B$20,AE50&lt;Parameters!$B$21),-1,0)),0)</f>
        <v>1</v>
      </c>
      <c r="BK50" s="10" t="n">
        <f aca="false">IF(ISNUMBER(E50),IF(E50&gt;Parameters!$B$22,1,IF(E50&lt;Parameters!$B$23,-1,0)),0)</f>
        <v>0</v>
      </c>
      <c r="BL50" s="10" t="n">
        <f aca="false">IF(ISNUMBER(C50),IF(C50&gt;=Parameters!$B$24,1,IF(C50&lt;=Parameters!$B$25,-1,0)),0)</f>
        <v>0</v>
      </c>
      <c r="BM50" s="10" t="n">
        <f aca="false">IF(ISNUMBER(AJ50),IF(AND(AJ50&gt;Parameters!$B$26,ISNUMBER(U50)),IF(U50&lt;0,-1,1),0),0)</f>
        <v>0</v>
      </c>
      <c r="BN50" s="10" t="n">
        <f aca="false">IF(ISNUMBER(AD50),IF(AD50&gt;Parameters!$B$27,1,IF(AD50&lt;Parameters!$B$28,-1,0)),0)</f>
        <v>1</v>
      </c>
      <c r="BO50" s="17" t="n">
        <f aca="false">BG50+BH50+BI50+BJ50+BK50+BL50+BM50+BN50</f>
        <v>5</v>
      </c>
      <c r="BP50" s="10" t="n">
        <f aca="false">IF(ISNUMBER(F50),IF(F50&gt;=Parameters!$B$30,2,IF(F50&gt;=Parameters!$B$31,1,IF(F50&lt;=Parameters!$B$32,-1,0))),0)</f>
        <v>-1</v>
      </c>
      <c r="BQ50" s="10" t="n">
        <f aca="false">IF(ISNUMBER(AK50),IF(AK50&gt;Parameters!$B$33,1,IF(AK50&lt;0,-1,0)),0)</f>
        <v>-1</v>
      </c>
      <c r="BR50" s="10" t="n">
        <f aca="false">IF(ISNUMBER(AL50),IF(AL50&gt;Parameters!$B$34,1,IF(AL50&lt;0,-1,0)),0)</f>
        <v>1</v>
      </c>
      <c r="BS50" s="10" t="n">
        <f aca="false">IF(ISNUMBER(AP50),IF(AND(AP50&gt;0,AP50&lt;=Parameters!$B$35),1,IF(AP50&gt;Parameters!$B$36,-1,0)),0)</f>
        <v>0</v>
      </c>
      <c r="BT50" s="10" t="n">
        <f aca="false">IF(ISNUMBER(AY50),IF(AY50&gt;Parameters!$B$37,1,IF(AY50&lt;0,-1,0)),0)</f>
        <v>0</v>
      </c>
      <c r="BU50" s="10" t="n">
        <f aca="false">IF(ISNUMBER(AZ50),IF(AZ50&gt;0,1,0),0)</f>
        <v>0</v>
      </c>
      <c r="BV50" s="10" t="n">
        <f aca="false">IF(ISNUMBER(AL50),IF(AL50&gt;Parameters!$B$39,2,IF(AL50&gt;Parameters!$B$40,1,IF(AL50&lt;0,-2,IF(AL50&lt;Parameters!$B$41,-1,0)))),0)</f>
        <v>0</v>
      </c>
      <c r="BW50" s="10" t="n">
        <f aca="false">IF(ISNUMBER(AV50),IF(AV50&gt;Parameters!$B$42,1,IF(AV50&lt;Parameters!$B$43,-1,0)),0)</f>
        <v>-1</v>
      </c>
      <c r="BX50" s="10" t="n">
        <f aca="false">IF(AND(ISNUMBER(AX50),AX50&gt;0),1,IF(AND(ISNUMBER(AY50),AY50&lt;Parameters!$B$44),-1,0))</f>
        <v>1</v>
      </c>
      <c r="BY50" s="10" t="n">
        <f aca="false">IF(ISNUMBER(AW50),IF(AW50&gt;0,1,0),0)</f>
        <v>1</v>
      </c>
      <c r="BZ50" s="10" t="n">
        <f aca="false">IF(ISNUMBER(AQ50),IF(AQ50&gt;Parameters!$B$46,-2,IF(AQ50&gt;Parameters!$B$45,-1,0)),0)</f>
        <v>0</v>
      </c>
      <c r="CA50" s="10" t="n">
        <f aca="false">IF(ISNUMBER(F50),IF(F50&gt;=Parameters!$B$47,1,IF(F50&lt;=Parameters!$B$48,-1,0)),0)</f>
        <v>0</v>
      </c>
      <c r="CB50" s="17" t="n">
        <f aca="false">IF(BF50="Established",BP50+BQ50+BR50+BS50+BT50+BU50,IF(BF50="Early",BV50+BW50+BX50+BY50+BZ50+CA50,0))</f>
        <v>1</v>
      </c>
      <c r="CC50" s="18" t="n">
        <f aca="false">IF(BF50="Established",BO50+CB50,IF(BF50="Early",BO50+Parameters!$B$50*CB50,BO50))</f>
        <v>5.5</v>
      </c>
      <c r="CD50" s="17" t="n">
        <f aca="false">IF(BF50="Established",IF(CC50&gt;=Parameters!$B$51,6,IF(CC50&gt;=Parameters!$B$52,5,IF(CC50&gt;=Parameters!$B$53,4,IF(CC50&gt;=Parameters!$B$54,3,IF(CC50&gt;=Parameters!$B$55,2,1))))),IF(BF50="Early",IF(CC50&gt;=Parameters!$B$56,5,IF(CC50&gt;=Parameters!$B$57,4,IF(CC50&gt;=Parameters!$B$58,3,IF(CC50&gt;=Parameters!$B$59,2,1)))),IF(CC50&gt;=Parameters!$B$60,6,IF(CC50&gt;=Parameters!$B$61,5,IF(CC50&gt;=Parameters!$B$62,4,IF(CC50&gt;=Parameters!$B$63,3,IF(CC50&gt;=Parameters!$B$64,2,1)))))))</f>
        <v>4</v>
      </c>
      <c r="CE50" s="10" t="n">
        <f aca="false">IF(AND(ISNUMBER(AR50),AR50&lt;Parameters!$B$66),1,0)</f>
        <v>0</v>
      </c>
      <c r="CF50" s="10" t="n">
        <f aca="false">IF(AND(LEFT(AH50,5)="Death",ISNUMBER(AG50)),IF(BF50="Early",IF(AND(AG50&lt;Parameters!$B$70,ISNUMBER(U50),U50&lt;Parameters!$B$71),1,0),IF(AND(AG50&lt;Parameters!$B$67,OR(AND(ISNUMBER(U50),U50&lt;Parameters!$B$68),AND(ISNUMBER(V50),V50&lt;Parameters!$B$69))),1,0)),0)</f>
        <v>0</v>
      </c>
      <c r="CG50" s="10" t="n">
        <f aca="false">IF(AND(ISNUMBER(AG50),AG50&lt;0),1,0)</f>
        <v>0</v>
      </c>
      <c r="CH50" s="10" t="n">
        <f aca="false">IF(OR(AND(ISNUMBER(U50),U50&gt;Parameters!$B$74),AND(ISNUMBER(AF50),AF50&gt;Parameters!$B$75),AND(ISNUMBER(AE50),AE50&gt;Parameters!$B$76)),1,0)</f>
        <v>1</v>
      </c>
      <c r="CI50" s="10" t="n">
        <f aca="false">IF(AND(ISNUMBER(BC50),BC50&gt;=0,BC50&lt;=Parameters!$B$77),1,0)</f>
        <v>0</v>
      </c>
      <c r="CJ50" s="17" t="n">
        <f aca="false">IF(CF50=1,1,MIN(CD50,IF(CE50=1,3,6),IF(CG50=1,IF(BF50="Early",Parameters!$B$73,Parameters!$B$72),6),IF(CH50=1,3,6),IF(CI50=1,3,6)))</f>
        <v>3</v>
      </c>
      <c r="CK50" s="10" t="str">
        <f aca="false">INDEX(Parameters!$F$2:$F$7,CJ50)</f>
        <v>Hold</v>
      </c>
      <c r="CL50" s="10" t="str">
        <f aca="false">IF(CF50=1,"Hard sell: breakdown; ","")&amp;IF(CE50=1,"Insufficient history; ","")&amp;IF(AND(CF50=0,CG50=1),"Below 200D; ","")&amp;IF(CH50=1,"Extended - wait for pullback; ","")&amp;IF(CI50=1,"Earnings within "&amp;Parameters!$B$77&amp;"d; ","")</f>
        <v>Extended - wait for pullback; </v>
      </c>
    </row>
    <row r="51" customFormat="false" ht="15" hidden="false" customHeight="false" outlineLevel="0" collapsed="false">
      <c r="A51" s="10" t="s">
        <v>433</v>
      </c>
      <c r="B51" s="10" t="n">
        <v>5</v>
      </c>
      <c r="C51" s="10" t="n">
        <v>6</v>
      </c>
      <c r="D51" s="10" t="n">
        <v>37.6</v>
      </c>
      <c r="E51" s="10" t="n">
        <v>13.4</v>
      </c>
      <c r="F51" s="10" t="n">
        <v>5</v>
      </c>
      <c r="G51" s="10" t="s">
        <v>434</v>
      </c>
      <c r="H51" s="10" t="s">
        <v>334</v>
      </c>
      <c r="I51" s="10" t="n">
        <v>409.35</v>
      </c>
      <c r="J51" s="10" t="s">
        <v>295</v>
      </c>
      <c r="K51" s="10" t="s">
        <v>360</v>
      </c>
      <c r="L51" s="15" t="n">
        <v>161271448000</v>
      </c>
      <c r="M51" s="16" t="n">
        <v>46234</v>
      </c>
      <c r="N51" s="10" t="n">
        <v>2.27</v>
      </c>
      <c r="O51" s="16" t="n">
        <v>46325</v>
      </c>
      <c r="P51" s="10" t="s">
        <v>297</v>
      </c>
      <c r="Q51" s="10" t="n">
        <v>-1.41</v>
      </c>
      <c r="R51" s="10" t="n">
        <v>-1.64</v>
      </c>
      <c r="S51" s="10" t="n">
        <v>4.73</v>
      </c>
      <c r="T51" s="10" t="n">
        <v>-2.41</v>
      </c>
      <c r="U51" s="10" t="n">
        <v>-10.87</v>
      </c>
      <c r="V51" s="10" t="n">
        <v>9.03</v>
      </c>
      <c r="W51" s="10" t="n">
        <v>15.05</v>
      </c>
      <c r="X51" s="10" t="n">
        <v>17.55</v>
      </c>
      <c r="Y51" s="10"/>
      <c r="Z51" s="10"/>
      <c r="AA51" s="10"/>
      <c r="AB51" s="10"/>
      <c r="AC51" s="10" t="n">
        <v>4.38</v>
      </c>
      <c r="AD51" s="10" t="n">
        <v>-14.36</v>
      </c>
      <c r="AE51" s="10" t="n">
        <v>47.25</v>
      </c>
      <c r="AF51" s="10" t="n">
        <v>-1.48</v>
      </c>
      <c r="AG51" s="10" t="n">
        <v>7.1</v>
      </c>
      <c r="AH51" s="10" t="s">
        <v>301</v>
      </c>
      <c r="AI51" s="10" t="n">
        <v>-0.3</v>
      </c>
      <c r="AJ51" s="10" t="n">
        <v>-13.15</v>
      </c>
      <c r="AK51" s="10" t="n">
        <v>-16.4</v>
      </c>
      <c r="AL51" s="10" t="n">
        <v>21.4</v>
      </c>
      <c r="AM51" s="10" t="n">
        <v>12.75</v>
      </c>
      <c r="AN51" s="10" t="n">
        <v>19.68</v>
      </c>
      <c r="AO51" s="10" t="n">
        <v>26.17</v>
      </c>
      <c r="AP51" s="10" t="n">
        <v>-2.64</v>
      </c>
      <c r="AQ51" s="10" t="n">
        <v>1.65</v>
      </c>
      <c r="AR51" s="10" t="n">
        <v>300</v>
      </c>
      <c r="AS51" s="16" t="n">
        <v>46275</v>
      </c>
      <c r="AT51" s="15" t="n">
        <v>30026000384</v>
      </c>
      <c r="AU51" s="15" t="n">
        <v>10816000000</v>
      </c>
      <c r="AV51" s="10" t="n">
        <v>36.02</v>
      </c>
      <c r="AW51" s="15" t="n">
        <v>3828999936</v>
      </c>
      <c r="AX51" s="15" t="n">
        <v>3106125056</v>
      </c>
      <c r="AY51" s="10" t="n">
        <v>10.34</v>
      </c>
      <c r="AZ51" s="15" t="n">
        <v>-20631000128</v>
      </c>
      <c r="BA51" s="10" t="n">
        <v>31.24</v>
      </c>
      <c r="BB51" s="10" t="n">
        <v>58.66</v>
      </c>
      <c r="BC51" s="17" t="n">
        <f aca="false">IF(AND(ISNUMBER(O51),ISNUMBER(AS51)),O51-AS51,"")</f>
        <v>50</v>
      </c>
      <c r="BD51" s="10" t="n">
        <f aca="false">IF(OR(ISNUMBER(SEARCH("ETF",H51)),AND(F51="",AO51="")),1,0)</f>
        <v>0</v>
      </c>
      <c r="BE51" s="17" t="n">
        <f aca="false">IF(ISNUMBER(L51),IF(L51&gt;=Parameters!$B$3,2,IF(L51&gt;=Parameters!$B$4,1,0)),0)+IF(ISNUMBER(AW51),IF(AW51&gt;0,IF(AND(ISNUMBER(AM51),AM51&gt;=Parameters!$B$5),2,1),0),0)+IF(ISNUMBER(AX51),IF(AND(AX51&gt;0,ISNUMBER(AY51),AY51&gt;=Parameters!$B$6),1,0),0)+IF(ISNUMBER(AO51),IF(AND(AO51&gt;0,AO51&lt;=Parameters!$B$7),1,0),0)+IF(ISNUMBER(F51),IF(F51&gt;=Parameters!$B$8,1,0),0)</f>
        <v>6</v>
      </c>
      <c r="BF51" s="10" t="str">
        <f aca="false">IF(BD51=1,"ETF",IF(OR(AND(ISNUMBER(L51),L51&gt;=Parameters!$B$10),BE51&gt;=Parameters!$B$9),"Established","Early"))</f>
        <v>Established</v>
      </c>
      <c r="BG51" s="10" t="n">
        <f aca="false">IF(LEFT(AH51,6)="Golden",2,IF(LEFT(AH51,5)="Death",-2,0))</f>
        <v>2</v>
      </c>
      <c r="BH51" s="10" t="n">
        <f aca="false">IF(ISNUMBER(AG51),IF(AG51&gt;Parameters!$B$12,2,IF(AG51&gt;0,1,IF(AG51&gt;=Parameters!$B$13,-1,-2))),0)</f>
        <v>1</v>
      </c>
      <c r="BI51" s="10" t="n">
        <f aca="false">IF(ISNUMBER(AF51),IF(AND(AF51&gt;=Parameters!$B$14,AF51&lt;=Parameters!$B$15),1,IF(OR(AF51&gt;Parameters!$B$16,AF51&lt;Parameters!$B$17),-1,0)),0)</f>
        <v>1</v>
      </c>
      <c r="BJ51" s="10" t="n">
        <f aca="false">IF(ISNUMBER(AE51),IF(AND(AE51&gt;=Parameters!$B$18,AE51&lt;=Parameters!$B$19),1,IF(OR(AE51&gt;Parameters!$B$20,AE51&lt;Parameters!$B$21),-1,0)),0)</f>
        <v>1</v>
      </c>
      <c r="BK51" s="10" t="n">
        <f aca="false">IF(ISNUMBER(E51),IF(E51&gt;Parameters!$B$22,1,IF(E51&lt;Parameters!$B$23,-1,0)),0)</f>
        <v>1</v>
      </c>
      <c r="BL51" s="10" t="n">
        <f aca="false">IF(ISNUMBER(C51),IF(C51&gt;=Parameters!$B$24,1,IF(C51&lt;=Parameters!$B$25,-1,0)),0)</f>
        <v>0</v>
      </c>
      <c r="BM51" s="10" t="n">
        <f aca="false">IF(ISNUMBER(AJ51),IF(AND(AJ51&gt;Parameters!$B$26,ISNUMBER(U51)),IF(U51&lt;0,-1,1),0),0)</f>
        <v>0</v>
      </c>
      <c r="BN51" s="10" t="n">
        <f aca="false">IF(ISNUMBER(AD51),IF(AD51&gt;Parameters!$B$27,1,IF(AD51&lt;Parameters!$B$28,-1,0)),0)</f>
        <v>0</v>
      </c>
      <c r="BO51" s="17" t="n">
        <f aca="false">BG51+BH51+BI51+BJ51+BK51+BL51+BM51+BN51</f>
        <v>6</v>
      </c>
      <c r="BP51" s="10" t="n">
        <f aca="false">IF(ISNUMBER(F51),IF(F51&gt;=Parameters!$B$30,2,IF(F51&gt;=Parameters!$B$31,1,IF(F51&lt;=Parameters!$B$32,-1,0))),0)</f>
        <v>0</v>
      </c>
      <c r="BQ51" s="10" t="n">
        <f aca="false">IF(ISNUMBER(AK51),IF(AK51&gt;Parameters!$B$33,1,IF(AK51&lt;0,-1,0)),0)</f>
        <v>-1</v>
      </c>
      <c r="BR51" s="10" t="n">
        <f aca="false">IF(ISNUMBER(AL51),IF(AL51&gt;Parameters!$B$34,1,IF(AL51&lt;0,-1,0)),0)</f>
        <v>1</v>
      </c>
      <c r="BS51" s="10" t="n">
        <f aca="false">IF(ISNUMBER(AP51),IF(AND(AP51&gt;0,AP51&lt;=Parameters!$B$35),1,IF(AP51&gt;Parameters!$B$36,-1,0)),0)</f>
        <v>0</v>
      </c>
      <c r="BT51" s="10" t="n">
        <f aca="false">IF(ISNUMBER(AY51),IF(AY51&gt;Parameters!$B$37,1,IF(AY51&lt;0,-1,0)),0)</f>
        <v>1</v>
      </c>
      <c r="BU51" s="10" t="n">
        <f aca="false">IF(ISNUMBER(AZ51),IF(AZ51&gt;0,1,0),0)</f>
        <v>0</v>
      </c>
      <c r="BV51" s="10" t="n">
        <f aca="false">IF(ISNUMBER(AL51),IF(AL51&gt;Parameters!$B$39,2,IF(AL51&gt;Parameters!$B$40,1,IF(AL51&lt;0,-2,IF(AL51&lt;Parameters!$B$41,-1,0)))),0)</f>
        <v>1</v>
      </c>
      <c r="BW51" s="10" t="n">
        <f aca="false">IF(ISNUMBER(AV51),IF(AV51&gt;Parameters!$B$42,1,IF(AV51&lt;Parameters!$B$43,-1,0)),0)</f>
        <v>0</v>
      </c>
      <c r="BX51" s="10" t="n">
        <f aca="false">IF(AND(ISNUMBER(AX51),AX51&gt;0),1,IF(AND(ISNUMBER(AY51),AY51&lt;Parameters!$B$44),-1,0))</f>
        <v>1</v>
      </c>
      <c r="BY51" s="10" t="n">
        <f aca="false">IF(ISNUMBER(AW51),IF(AW51&gt;0,1,0),0)</f>
        <v>1</v>
      </c>
      <c r="BZ51" s="10" t="n">
        <f aca="false">IF(ISNUMBER(AQ51),IF(AQ51&gt;Parameters!$B$46,-2,IF(AQ51&gt;Parameters!$B$45,-1,0)),0)</f>
        <v>0</v>
      </c>
      <c r="CA51" s="10" t="n">
        <f aca="false">IF(ISNUMBER(F51),IF(F51&gt;=Parameters!$B$47,1,IF(F51&lt;=Parameters!$B$48,-1,0)),0)</f>
        <v>0</v>
      </c>
      <c r="CB51" s="17" t="n">
        <f aca="false">IF(BF51="Established",BP51+BQ51+BR51+BS51+BT51+BU51,IF(BF51="Early",BV51+BW51+BX51+BY51+BZ51+CA51,0))</f>
        <v>1</v>
      </c>
      <c r="CC51" s="18" t="n">
        <f aca="false">IF(BF51="Established",BO51+CB51,IF(BF51="Early",BO51+Parameters!$B$50*CB51,BO51))</f>
        <v>7</v>
      </c>
      <c r="CD51" s="17" t="n">
        <f aca="false">IF(BF51="Established",IF(CC51&gt;=Parameters!$B$51,6,IF(CC51&gt;=Parameters!$B$52,5,IF(CC51&gt;=Parameters!$B$53,4,IF(CC51&gt;=Parameters!$B$54,3,IF(CC51&gt;=Parameters!$B$55,2,1))))),IF(BF51="Early",IF(CC51&gt;=Parameters!$B$56,5,IF(CC51&gt;=Parameters!$B$57,4,IF(CC51&gt;=Parameters!$B$58,3,IF(CC51&gt;=Parameters!$B$59,2,1)))),IF(CC51&gt;=Parameters!$B$60,6,IF(CC51&gt;=Parameters!$B$61,5,IF(CC51&gt;=Parameters!$B$62,4,IF(CC51&gt;=Parameters!$B$63,3,IF(CC51&gt;=Parameters!$B$64,2,1)))))))</f>
        <v>4</v>
      </c>
      <c r="CE51" s="10" t="n">
        <f aca="false">IF(AND(ISNUMBER(AR51),AR51&lt;Parameters!$B$66),1,0)</f>
        <v>0</v>
      </c>
      <c r="CF51" s="10" t="n">
        <f aca="false">IF(AND(LEFT(AH51,5)="Death",ISNUMBER(AG51)),IF(BF51="Early",IF(AND(AG51&lt;Parameters!$B$70,ISNUMBER(U51),U51&lt;Parameters!$B$71),1,0),IF(AND(AG51&lt;Parameters!$B$67,OR(AND(ISNUMBER(U51),U51&lt;Parameters!$B$68),AND(ISNUMBER(V51),V51&lt;Parameters!$B$69))),1,0)),0)</f>
        <v>0</v>
      </c>
      <c r="CG51" s="10" t="n">
        <f aca="false">IF(AND(ISNUMBER(AG51),AG51&lt;0),1,0)</f>
        <v>0</v>
      </c>
      <c r="CH51" s="10" t="n">
        <f aca="false">IF(OR(AND(ISNUMBER(U51),U51&gt;Parameters!$B$74),AND(ISNUMBER(AF51),AF51&gt;Parameters!$B$75),AND(ISNUMBER(AE51),AE51&gt;Parameters!$B$76)),1,0)</f>
        <v>0</v>
      </c>
      <c r="CI51" s="10" t="n">
        <f aca="false">IF(AND(ISNUMBER(BC51),BC51&gt;=0,BC51&lt;=Parameters!$B$77),1,0)</f>
        <v>0</v>
      </c>
      <c r="CJ51" s="17" t="n">
        <f aca="false">IF(CF51=1,1,MIN(CD51,IF(CE51=1,3,6),IF(CG51=1,IF(BF51="Early",Parameters!$B$73,Parameters!$B$72),6),IF(CH51=1,3,6),IF(CI51=1,3,6)))</f>
        <v>4</v>
      </c>
      <c r="CK51" s="10" t="str">
        <f aca="false">INDEX(Parameters!$F$2:$F$7,CJ51)</f>
        <v>Buy with Risk</v>
      </c>
      <c r="CL51" s="10" t="str">
        <f aca="false">IF(CF51=1,"Hard sell: breakdown; ","")&amp;IF(CE51=1,"Insufficient history; ","")&amp;IF(AND(CF51=0,CG51=1),"Below 200D; ","")&amp;IF(CH51=1,"Extended - wait for pullback; ","")&amp;IF(CI51=1,"Earnings within "&amp;Parameters!$B$77&amp;"d; ","")</f>
        <v/>
      </c>
    </row>
    <row r="52" customFormat="false" ht="15" hidden="false" customHeight="false" outlineLevel="0" collapsed="false">
      <c r="A52" s="10" t="s">
        <v>435</v>
      </c>
      <c r="B52" s="10" t="n">
        <v>5</v>
      </c>
      <c r="C52" s="10" t="n">
        <v>4</v>
      </c>
      <c r="D52" s="10" t="n">
        <v>32.7</v>
      </c>
      <c r="E52" s="10" t="n">
        <v>-4.9</v>
      </c>
      <c r="F52" s="10" t="n">
        <v>9</v>
      </c>
      <c r="G52" s="10" t="s">
        <v>436</v>
      </c>
      <c r="H52" s="10" t="s">
        <v>349</v>
      </c>
      <c r="I52" s="10" t="n">
        <v>73.1</v>
      </c>
      <c r="J52" s="10" t="s">
        <v>295</v>
      </c>
      <c r="K52" s="10" t="s">
        <v>296</v>
      </c>
      <c r="L52" s="15" t="n">
        <v>145185177485</v>
      </c>
      <c r="M52" s="16" t="n">
        <v>46239</v>
      </c>
      <c r="N52" s="10" t="n">
        <v>40.96</v>
      </c>
      <c r="O52" s="16" t="n">
        <v>46330</v>
      </c>
      <c r="P52" s="10" t="s">
        <v>297</v>
      </c>
      <c r="Q52" s="10" t="n">
        <v>2.84</v>
      </c>
      <c r="R52" s="10" t="n">
        <v>-2.8</v>
      </c>
      <c r="S52" s="10" t="n">
        <v>-4.38</v>
      </c>
      <c r="T52" s="10" t="n">
        <v>-6.87</v>
      </c>
      <c r="U52" s="10" t="n">
        <v>-6.93</v>
      </c>
      <c r="V52" s="10" t="n">
        <v>6.54</v>
      </c>
      <c r="W52" s="10" t="n">
        <v>-2.49</v>
      </c>
      <c r="X52" s="10" t="n">
        <v>-23.42</v>
      </c>
      <c r="Y52" s="10"/>
      <c r="Z52" s="10"/>
      <c r="AA52" s="10"/>
      <c r="AB52" s="10"/>
      <c r="AC52" s="10" t="n">
        <v>1.9</v>
      </c>
      <c r="AD52" s="10" t="n">
        <v>-28.33</v>
      </c>
      <c r="AE52" s="10" t="n">
        <v>44.86</v>
      </c>
      <c r="AF52" s="10" t="n">
        <v>-1.16</v>
      </c>
      <c r="AG52" s="10" t="n">
        <v>-3.93</v>
      </c>
      <c r="AH52" s="10" t="s">
        <v>377</v>
      </c>
      <c r="AI52" s="10" t="n">
        <v>-0.79</v>
      </c>
      <c r="AJ52" s="10" t="n">
        <v>5.8</v>
      </c>
      <c r="AK52" s="10" t="n">
        <v>76.7</v>
      </c>
      <c r="AL52" s="10" t="n">
        <v>12.2</v>
      </c>
      <c r="AM52" s="10" t="n">
        <v>17.34</v>
      </c>
      <c r="AN52" s="10" t="n">
        <v>37.16</v>
      </c>
      <c r="AO52" s="10" t="n">
        <v>16.18</v>
      </c>
      <c r="AP52" s="10" t="n">
        <v>0.19</v>
      </c>
      <c r="AQ52" s="10" t="n">
        <v>2.28</v>
      </c>
      <c r="AR52" s="10" t="n">
        <v>300</v>
      </c>
      <c r="AS52" s="16" t="n">
        <v>46275</v>
      </c>
      <c r="AT52" s="15" t="n">
        <v>55226998784</v>
      </c>
      <c r="AU52" s="15" t="n">
        <v>22506000384</v>
      </c>
      <c r="AV52" s="10" t="n">
        <v>40.75</v>
      </c>
      <c r="AW52" s="15" t="n">
        <v>9578999808</v>
      </c>
      <c r="AX52" s="15" t="n">
        <v>7244749824</v>
      </c>
      <c r="AY52" s="10" t="n">
        <v>13.12</v>
      </c>
      <c r="AZ52" s="15" t="n">
        <v>-9339999744</v>
      </c>
      <c r="BA52" s="10" t="n">
        <v>11.76</v>
      </c>
      <c r="BB52" s="10" t="n">
        <v>21.02</v>
      </c>
      <c r="BC52" s="17" t="n">
        <f aca="false">IF(AND(ISNUMBER(O52),ISNUMBER(AS52)),O52-AS52,"")</f>
        <v>55</v>
      </c>
      <c r="BD52" s="10" t="n">
        <f aca="false">IF(OR(ISNUMBER(SEARCH("ETF",H52)),AND(F52="",AO52="")),1,0)</f>
        <v>0</v>
      </c>
      <c r="BE52" s="17" t="n">
        <f aca="false">IF(ISNUMBER(L52),IF(L52&gt;=Parameters!$B$3,2,IF(L52&gt;=Parameters!$B$4,1,0)),0)+IF(ISNUMBER(AW52),IF(AW52&gt;0,IF(AND(ISNUMBER(AM52),AM52&gt;=Parameters!$B$5),2,1),0),0)+IF(ISNUMBER(AX52),IF(AND(AX52&gt;0,ISNUMBER(AY52),AY52&gt;=Parameters!$B$6),1,0),0)+IF(ISNUMBER(AO52),IF(AND(AO52&gt;0,AO52&lt;=Parameters!$B$7),1,0),0)+IF(ISNUMBER(F52),IF(F52&gt;=Parameters!$B$8,1,0),0)</f>
        <v>7</v>
      </c>
      <c r="BF52" s="10" t="str">
        <f aca="false">IF(BD52=1,"ETF",IF(OR(AND(ISNUMBER(L52),L52&gt;=Parameters!$B$10),BE52&gt;=Parameters!$B$9),"Established","Early"))</f>
        <v>Established</v>
      </c>
      <c r="BG52" s="10" t="n">
        <f aca="false">IF(LEFT(AH52,6)="Golden",2,IF(LEFT(AH52,5)="Death",-2,0))</f>
        <v>-2</v>
      </c>
      <c r="BH52" s="10" t="n">
        <f aca="false">IF(ISNUMBER(AG52),IF(AG52&gt;Parameters!$B$12,2,IF(AG52&gt;0,1,IF(AG52&gt;=Parameters!$B$13,-1,-2))),0)</f>
        <v>-1</v>
      </c>
      <c r="BI52" s="10" t="n">
        <f aca="false">IF(ISNUMBER(AF52),IF(AND(AF52&gt;=Parameters!$B$14,AF52&lt;=Parameters!$B$15),1,IF(OR(AF52&gt;Parameters!$B$16,AF52&lt;Parameters!$B$17),-1,0)),0)</f>
        <v>1</v>
      </c>
      <c r="BJ52" s="10" t="n">
        <f aca="false">IF(ISNUMBER(AE52),IF(AND(AE52&gt;=Parameters!$B$18,AE52&lt;=Parameters!$B$19),1,IF(OR(AE52&gt;Parameters!$B$20,AE52&lt;Parameters!$B$21),-1,0)),0)</f>
        <v>0</v>
      </c>
      <c r="BK52" s="10" t="n">
        <f aca="false">IF(ISNUMBER(E52),IF(E52&gt;Parameters!$B$22,1,IF(E52&lt;Parameters!$B$23,-1,0)),0)</f>
        <v>0</v>
      </c>
      <c r="BL52" s="10" t="n">
        <f aca="false">IF(ISNUMBER(C52),IF(C52&gt;=Parameters!$B$24,1,IF(C52&lt;=Parameters!$B$25,-1,0)),0)</f>
        <v>0</v>
      </c>
      <c r="BM52" s="10" t="n">
        <f aca="false">IF(ISNUMBER(AJ52),IF(AND(AJ52&gt;Parameters!$B$26,ISNUMBER(U52)),IF(U52&lt;0,-1,1),0),0)</f>
        <v>0</v>
      </c>
      <c r="BN52" s="10" t="n">
        <f aca="false">IF(ISNUMBER(AD52),IF(AD52&gt;Parameters!$B$27,1,IF(AD52&lt;Parameters!$B$28,-1,0)),0)</f>
        <v>0</v>
      </c>
      <c r="BO52" s="17" t="n">
        <f aca="false">BG52+BH52+BI52+BJ52+BK52+BL52+BM52+BN52</f>
        <v>-2</v>
      </c>
      <c r="BP52" s="10" t="n">
        <f aca="false">IF(ISNUMBER(F52),IF(F52&gt;=Parameters!$B$30,2,IF(F52&gt;=Parameters!$B$31,1,IF(F52&lt;=Parameters!$B$32,-1,0))),0)</f>
        <v>2</v>
      </c>
      <c r="BQ52" s="10" t="n">
        <f aca="false">IF(ISNUMBER(AK52),IF(AK52&gt;Parameters!$B$33,1,IF(AK52&lt;0,-1,0)),0)</f>
        <v>1</v>
      </c>
      <c r="BR52" s="10" t="n">
        <f aca="false">IF(ISNUMBER(AL52),IF(AL52&gt;Parameters!$B$34,1,IF(AL52&lt;0,-1,0)),0)</f>
        <v>1</v>
      </c>
      <c r="BS52" s="10" t="n">
        <f aca="false">IF(ISNUMBER(AP52),IF(AND(AP52&gt;0,AP52&lt;=Parameters!$B$35),1,IF(AP52&gt;Parameters!$B$36,-1,0)),0)</f>
        <v>1</v>
      </c>
      <c r="BT52" s="10" t="n">
        <f aca="false">IF(ISNUMBER(AY52),IF(AY52&gt;Parameters!$B$37,1,IF(AY52&lt;0,-1,0)),0)</f>
        <v>1</v>
      </c>
      <c r="BU52" s="10" t="n">
        <f aca="false">IF(ISNUMBER(AZ52),IF(AZ52&gt;0,1,0),0)</f>
        <v>0</v>
      </c>
      <c r="BV52" s="10" t="n">
        <f aca="false">IF(ISNUMBER(AL52),IF(AL52&gt;Parameters!$B$39,2,IF(AL52&gt;Parameters!$B$40,1,IF(AL52&lt;0,-2,IF(AL52&lt;Parameters!$B$41,-1,0)))),0)</f>
        <v>0</v>
      </c>
      <c r="BW52" s="10" t="n">
        <f aca="false">IF(ISNUMBER(AV52),IF(AV52&gt;Parameters!$B$42,1,IF(AV52&lt;Parameters!$B$43,-1,0)),0)</f>
        <v>0</v>
      </c>
      <c r="BX52" s="10" t="n">
        <f aca="false">IF(AND(ISNUMBER(AX52),AX52&gt;0),1,IF(AND(ISNUMBER(AY52),AY52&lt;Parameters!$B$44),-1,0))</f>
        <v>1</v>
      </c>
      <c r="BY52" s="10" t="n">
        <f aca="false">IF(ISNUMBER(AW52),IF(AW52&gt;0,1,0),0)</f>
        <v>1</v>
      </c>
      <c r="BZ52" s="10" t="n">
        <f aca="false">IF(ISNUMBER(AQ52),IF(AQ52&gt;Parameters!$B$46,-2,IF(AQ52&gt;Parameters!$B$45,-1,0)),0)</f>
        <v>0</v>
      </c>
      <c r="CA52" s="10" t="n">
        <f aca="false">IF(ISNUMBER(F52),IF(F52&gt;=Parameters!$B$47,1,IF(F52&lt;=Parameters!$B$48,-1,0)),0)</f>
        <v>1</v>
      </c>
      <c r="CB52" s="17" t="n">
        <f aca="false">IF(BF52="Established",BP52+BQ52+BR52+BS52+BT52+BU52,IF(BF52="Early",BV52+BW52+BX52+BY52+BZ52+CA52,0))</f>
        <v>6</v>
      </c>
      <c r="CC52" s="18" t="n">
        <f aca="false">IF(BF52="Established",BO52+CB52,IF(BF52="Early",BO52+Parameters!$B$50*CB52,BO52))</f>
        <v>4</v>
      </c>
      <c r="CD52" s="17" t="n">
        <f aca="false">IF(BF52="Established",IF(CC52&gt;=Parameters!$B$51,6,IF(CC52&gt;=Parameters!$B$52,5,IF(CC52&gt;=Parameters!$B$53,4,IF(CC52&gt;=Parameters!$B$54,3,IF(CC52&gt;=Parameters!$B$55,2,1))))),IF(BF52="Early",IF(CC52&gt;=Parameters!$B$56,5,IF(CC52&gt;=Parameters!$B$57,4,IF(CC52&gt;=Parameters!$B$58,3,IF(CC52&gt;=Parameters!$B$59,2,1)))),IF(CC52&gt;=Parameters!$B$60,6,IF(CC52&gt;=Parameters!$B$61,5,IF(CC52&gt;=Parameters!$B$62,4,IF(CC52&gt;=Parameters!$B$63,3,IF(CC52&gt;=Parameters!$B$64,2,1)))))))</f>
        <v>3</v>
      </c>
      <c r="CE52" s="10" t="n">
        <f aca="false">IF(AND(ISNUMBER(AR52),AR52&lt;Parameters!$B$66),1,0)</f>
        <v>0</v>
      </c>
      <c r="CF52" s="10" t="n">
        <f aca="false">IF(AND(LEFT(AH52,5)="Death",ISNUMBER(AG52)),IF(BF52="Early",IF(AND(AG52&lt;Parameters!$B$70,ISNUMBER(U52),U52&lt;Parameters!$B$71),1,0),IF(AND(AG52&lt;Parameters!$B$67,OR(AND(ISNUMBER(U52),U52&lt;Parameters!$B$68),AND(ISNUMBER(V52),V52&lt;Parameters!$B$69))),1,0)),0)</f>
        <v>0</v>
      </c>
      <c r="CG52" s="10" t="n">
        <f aca="false">IF(AND(ISNUMBER(AG52),AG52&lt;0),1,0)</f>
        <v>1</v>
      </c>
      <c r="CH52" s="10" t="n">
        <f aca="false">IF(OR(AND(ISNUMBER(U52),U52&gt;Parameters!$B$74),AND(ISNUMBER(AF52),AF52&gt;Parameters!$B$75),AND(ISNUMBER(AE52),AE52&gt;Parameters!$B$76)),1,0)</f>
        <v>0</v>
      </c>
      <c r="CI52" s="10" t="n">
        <f aca="false">IF(AND(ISNUMBER(BC52),BC52&gt;=0,BC52&lt;=Parameters!$B$77),1,0)</f>
        <v>0</v>
      </c>
      <c r="CJ52" s="17" t="n">
        <f aca="false">IF(CF52=1,1,MIN(CD52,IF(CE52=1,3,6),IF(CG52=1,IF(BF52="Early",Parameters!$B$73,Parameters!$B$72),6),IF(CH52=1,3,6),IF(CI52=1,3,6)))</f>
        <v>3</v>
      </c>
      <c r="CK52" s="10" t="str">
        <f aca="false">INDEX(Parameters!$F$2:$F$7,CJ52)</f>
        <v>Hold</v>
      </c>
      <c r="CL52" s="10" t="str">
        <f aca="false">IF(CF52=1,"Hard sell: breakdown; ","")&amp;IF(CE52=1,"Insufficient history; ","")&amp;IF(AND(CF52=0,CG52=1),"Below 200D; ","")&amp;IF(CH52=1,"Extended - wait for pullback; ","")&amp;IF(CI52=1,"Earnings within "&amp;Parameters!$B$77&amp;"d; ","")</f>
        <v>Below 200D; </v>
      </c>
    </row>
    <row r="53" customFormat="false" ht="15" hidden="false" customHeight="false" outlineLevel="0" collapsed="false">
      <c r="A53" s="10" t="s">
        <v>437</v>
      </c>
      <c r="B53" s="10" t="n">
        <v>5</v>
      </c>
      <c r="C53" s="10" t="n">
        <v>4</v>
      </c>
      <c r="D53" s="10" t="n">
        <v>31.1</v>
      </c>
      <c r="E53" s="10" t="n">
        <v>-1.6</v>
      </c>
      <c r="F53" s="10" t="n">
        <v>8</v>
      </c>
      <c r="G53" s="10" t="s">
        <v>438</v>
      </c>
      <c r="H53" s="10" t="s">
        <v>349</v>
      </c>
      <c r="I53" s="10" t="n">
        <v>70.98</v>
      </c>
      <c r="J53" s="10" t="s">
        <v>295</v>
      </c>
      <c r="K53" s="10" t="s">
        <v>366</v>
      </c>
      <c r="L53" s="15" t="n">
        <v>81372325355</v>
      </c>
      <c r="M53" s="16" t="n">
        <v>46232</v>
      </c>
      <c r="N53" s="10" t="n">
        <v>10.53</v>
      </c>
      <c r="O53" s="16" t="n">
        <v>46323</v>
      </c>
      <c r="P53" s="10" t="s">
        <v>297</v>
      </c>
      <c r="Q53" s="10" t="n">
        <v>-3.31</v>
      </c>
      <c r="R53" s="10" t="n">
        <v>-1.75</v>
      </c>
      <c r="S53" s="10" t="n">
        <v>-4.29</v>
      </c>
      <c r="T53" s="10" t="n">
        <v>-4.02</v>
      </c>
      <c r="U53" s="10" t="n">
        <v>-1.42</v>
      </c>
      <c r="V53" s="10" t="n">
        <v>5.55</v>
      </c>
      <c r="W53" s="10" t="n">
        <v>14.68</v>
      </c>
      <c r="X53" s="10" t="n">
        <v>-5.36</v>
      </c>
      <c r="Y53" s="10"/>
      <c r="Z53" s="10"/>
      <c r="AA53" s="10"/>
      <c r="AB53" s="10"/>
      <c r="AC53" s="10" t="n">
        <v>0.91</v>
      </c>
      <c r="AD53" s="10" t="n">
        <v>-27.11</v>
      </c>
      <c r="AE53" s="10" t="n">
        <v>48.25</v>
      </c>
      <c r="AF53" s="10" t="n">
        <v>2.4</v>
      </c>
      <c r="AG53" s="10" t="n">
        <v>-2.98</v>
      </c>
      <c r="AH53" s="10" t="s">
        <v>377</v>
      </c>
      <c r="AI53" s="10" t="n">
        <v>-0.3</v>
      </c>
      <c r="AJ53" s="10" t="n">
        <v>-41.31</v>
      </c>
      <c r="AK53" s="10" t="n">
        <v>69.4</v>
      </c>
      <c r="AL53" s="10" t="n">
        <v>52.4</v>
      </c>
      <c r="AM53" s="10" t="n">
        <v>6.26</v>
      </c>
      <c r="AN53" s="10" t="n">
        <v>58.77</v>
      </c>
      <c r="AO53" s="10" t="n">
        <v>33.03</v>
      </c>
      <c r="AP53" s="10" t="n">
        <v>0.67</v>
      </c>
      <c r="AQ53" s="10" t="n">
        <v>9.23</v>
      </c>
      <c r="AR53" s="10" t="n">
        <v>300</v>
      </c>
      <c r="AS53" s="16" t="n">
        <v>46275</v>
      </c>
      <c r="AT53" s="15" t="n">
        <v>25058000896</v>
      </c>
      <c r="AU53" s="15" t="n">
        <v>4854000128</v>
      </c>
      <c r="AV53" s="10" t="n">
        <v>19.37</v>
      </c>
      <c r="AW53" s="15" t="n">
        <v>1568000000</v>
      </c>
      <c r="AX53" s="15" t="n">
        <v>424375008</v>
      </c>
      <c r="AY53" s="10" t="n">
        <v>1.69</v>
      </c>
      <c r="AZ53" s="15" t="n">
        <v>-2564999936</v>
      </c>
      <c r="BA53" s="10" t="n">
        <v>30.32</v>
      </c>
      <c r="BB53" s="10" t="n">
        <v>38.49</v>
      </c>
      <c r="BC53" s="17" t="n">
        <f aca="false">IF(AND(ISNUMBER(O53),ISNUMBER(AS53)),O53-AS53,"")</f>
        <v>48</v>
      </c>
      <c r="BD53" s="10" t="n">
        <f aca="false">IF(OR(ISNUMBER(SEARCH("ETF",H53)),AND(F53="",AO53="")),1,0)</f>
        <v>0</v>
      </c>
      <c r="BE53" s="17" t="n">
        <f aca="false">IF(ISNUMBER(L53),IF(L53&gt;=Parameters!$B$3,2,IF(L53&gt;=Parameters!$B$4,1,0)),0)+IF(ISNUMBER(AW53),IF(AW53&gt;0,IF(AND(ISNUMBER(AM53),AM53&gt;=Parameters!$B$5),2,1),0),0)+IF(ISNUMBER(AX53),IF(AND(AX53&gt;0,ISNUMBER(AY53),AY53&gt;=Parameters!$B$6),1,0),0)+IF(ISNUMBER(AO53),IF(AND(AO53&gt;0,AO53&lt;=Parameters!$B$7),1,0),0)+IF(ISNUMBER(F53),IF(F53&gt;=Parameters!$B$8,1,0),0)</f>
        <v>5</v>
      </c>
      <c r="BF53" s="10" t="str">
        <f aca="false">IF(BD53=1,"ETF",IF(OR(AND(ISNUMBER(L53),L53&gt;=Parameters!$B$10),BE53&gt;=Parameters!$B$9),"Established","Early"))</f>
        <v>Established</v>
      </c>
      <c r="BG53" s="10" t="n">
        <f aca="false">IF(LEFT(AH53,6)="Golden",2,IF(LEFT(AH53,5)="Death",-2,0))</f>
        <v>-2</v>
      </c>
      <c r="BH53" s="10" t="n">
        <f aca="false">IF(ISNUMBER(AG53),IF(AG53&gt;Parameters!$B$12,2,IF(AG53&gt;0,1,IF(AG53&gt;=Parameters!$B$13,-1,-2))),0)</f>
        <v>-1</v>
      </c>
      <c r="BI53" s="10" t="n">
        <f aca="false">IF(ISNUMBER(AF53),IF(AND(AF53&gt;=Parameters!$B$14,AF53&lt;=Parameters!$B$15),1,IF(OR(AF53&gt;Parameters!$B$16,AF53&lt;Parameters!$B$17),-1,0)),0)</f>
        <v>1</v>
      </c>
      <c r="BJ53" s="10" t="n">
        <f aca="false">IF(ISNUMBER(AE53),IF(AND(AE53&gt;=Parameters!$B$18,AE53&lt;=Parameters!$B$19),1,IF(OR(AE53&gt;Parameters!$B$20,AE53&lt;Parameters!$B$21),-1,0)),0)</f>
        <v>1</v>
      </c>
      <c r="BK53" s="10" t="n">
        <f aca="false">IF(ISNUMBER(E53),IF(E53&gt;Parameters!$B$22,1,IF(E53&lt;Parameters!$B$23,-1,0)),0)</f>
        <v>0</v>
      </c>
      <c r="BL53" s="10" t="n">
        <f aca="false">IF(ISNUMBER(C53),IF(C53&gt;=Parameters!$B$24,1,IF(C53&lt;=Parameters!$B$25,-1,0)),0)</f>
        <v>0</v>
      </c>
      <c r="BM53" s="10" t="n">
        <f aca="false">IF(ISNUMBER(AJ53),IF(AND(AJ53&gt;Parameters!$B$26,ISNUMBER(U53)),IF(U53&lt;0,-1,1),0),0)</f>
        <v>0</v>
      </c>
      <c r="BN53" s="10" t="n">
        <f aca="false">IF(ISNUMBER(AD53),IF(AD53&gt;Parameters!$B$27,1,IF(AD53&lt;Parameters!$B$28,-1,0)),0)</f>
        <v>0</v>
      </c>
      <c r="BO53" s="17" t="n">
        <f aca="false">BG53+BH53+BI53+BJ53+BK53+BL53+BM53+BN53</f>
        <v>-1</v>
      </c>
      <c r="BP53" s="10" t="n">
        <f aca="false">IF(ISNUMBER(F53),IF(F53&gt;=Parameters!$B$30,2,IF(F53&gt;=Parameters!$B$31,1,IF(F53&lt;=Parameters!$B$32,-1,0))),0)</f>
        <v>2</v>
      </c>
      <c r="BQ53" s="10" t="n">
        <f aca="false">IF(ISNUMBER(AK53),IF(AK53&gt;Parameters!$B$33,1,IF(AK53&lt;0,-1,0)),0)</f>
        <v>1</v>
      </c>
      <c r="BR53" s="10" t="n">
        <f aca="false">IF(ISNUMBER(AL53),IF(AL53&gt;Parameters!$B$34,1,IF(AL53&lt;0,-1,0)),0)</f>
        <v>1</v>
      </c>
      <c r="BS53" s="10" t="n">
        <f aca="false">IF(ISNUMBER(AP53),IF(AND(AP53&gt;0,AP53&lt;=Parameters!$B$35),1,IF(AP53&gt;Parameters!$B$36,-1,0)),0)</f>
        <v>1</v>
      </c>
      <c r="BT53" s="10" t="n">
        <f aca="false">IF(ISNUMBER(AY53),IF(AY53&gt;Parameters!$B$37,1,IF(AY53&lt;0,-1,0)),0)</f>
        <v>0</v>
      </c>
      <c r="BU53" s="10" t="n">
        <f aca="false">IF(ISNUMBER(AZ53),IF(AZ53&gt;0,1,0),0)</f>
        <v>0</v>
      </c>
      <c r="BV53" s="10" t="n">
        <f aca="false">IF(ISNUMBER(AL53),IF(AL53&gt;Parameters!$B$39,2,IF(AL53&gt;Parameters!$B$40,1,IF(AL53&lt;0,-2,IF(AL53&lt;Parameters!$B$41,-1,0)))),0)</f>
        <v>2</v>
      </c>
      <c r="BW53" s="10" t="n">
        <f aca="false">IF(ISNUMBER(AV53),IF(AV53&gt;Parameters!$B$42,1,IF(AV53&lt;Parameters!$B$43,-1,0)),0)</f>
        <v>-1</v>
      </c>
      <c r="BX53" s="10" t="n">
        <f aca="false">IF(AND(ISNUMBER(AX53),AX53&gt;0),1,IF(AND(ISNUMBER(AY53),AY53&lt;Parameters!$B$44),-1,0))</f>
        <v>1</v>
      </c>
      <c r="BY53" s="10" t="n">
        <f aca="false">IF(ISNUMBER(AW53),IF(AW53&gt;0,1,0),0)</f>
        <v>1</v>
      </c>
      <c r="BZ53" s="10" t="n">
        <f aca="false">IF(ISNUMBER(AQ53),IF(AQ53&gt;Parameters!$B$46,-2,IF(AQ53&gt;Parameters!$B$45,-1,0)),0)</f>
        <v>0</v>
      </c>
      <c r="CA53" s="10" t="n">
        <f aca="false">IF(ISNUMBER(F53),IF(F53&gt;=Parameters!$B$47,1,IF(F53&lt;=Parameters!$B$48,-1,0)),0)</f>
        <v>1</v>
      </c>
      <c r="CB53" s="17" t="n">
        <f aca="false">IF(BF53="Established",BP53+BQ53+BR53+BS53+BT53+BU53,IF(BF53="Early",BV53+BW53+BX53+BY53+BZ53+CA53,0))</f>
        <v>5</v>
      </c>
      <c r="CC53" s="18" t="n">
        <f aca="false">IF(BF53="Established",BO53+CB53,IF(BF53="Early",BO53+Parameters!$B$50*CB53,BO53))</f>
        <v>4</v>
      </c>
      <c r="CD53" s="17" t="n">
        <f aca="false">IF(BF53="Established",IF(CC53&gt;=Parameters!$B$51,6,IF(CC53&gt;=Parameters!$B$52,5,IF(CC53&gt;=Parameters!$B$53,4,IF(CC53&gt;=Parameters!$B$54,3,IF(CC53&gt;=Parameters!$B$55,2,1))))),IF(BF53="Early",IF(CC53&gt;=Parameters!$B$56,5,IF(CC53&gt;=Parameters!$B$57,4,IF(CC53&gt;=Parameters!$B$58,3,IF(CC53&gt;=Parameters!$B$59,2,1)))),IF(CC53&gt;=Parameters!$B$60,6,IF(CC53&gt;=Parameters!$B$61,5,IF(CC53&gt;=Parameters!$B$62,4,IF(CC53&gt;=Parameters!$B$63,3,IF(CC53&gt;=Parameters!$B$64,2,1)))))))</f>
        <v>3</v>
      </c>
      <c r="CE53" s="10" t="n">
        <f aca="false">IF(AND(ISNUMBER(AR53),AR53&lt;Parameters!$B$66),1,0)</f>
        <v>0</v>
      </c>
      <c r="CF53" s="10" t="n">
        <f aca="false">IF(AND(LEFT(AH53,5)="Death",ISNUMBER(AG53)),IF(BF53="Early",IF(AND(AG53&lt;Parameters!$B$70,ISNUMBER(U53),U53&lt;Parameters!$B$71),1,0),IF(AND(AG53&lt;Parameters!$B$67,OR(AND(ISNUMBER(U53),U53&lt;Parameters!$B$68),AND(ISNUMBER(V53),V53&lt;Parameters!$B$69))),1,0)),0)</f>
        <v>0</v>
      </c>
      <c r="CG53" s="10" t="n">
        <f aca="false">IF(AND(ISNUMBER(AG53),AG53&lt;0),1,0)</f>
        <v>1</v>
      </c>
      <c r="CH53" s="10" t="n">
        <f aca="false">IF(OR(AND(ISNUMBER(U53),U53&gt;Parameters!$B$74),AND(ISNUMBER(AF53),AF53&gt;Parameters!$B$75),AND(ISNUMBER(AE53),AE53&gt;Parameters!$B$76)),1,0)</f>
        <v>0</v>
      </c>
      <c r="CI53" s="10" t="n">
        <f aca="false">IF(AND(ISNUMBER(BC53),BC53&gt;=0,BC53&lt;=Parameters!$B$77),1,0)</f>
        <v>0</v>
      </c>
      <c r="CJ53" s="17" t="n">
        <f aca="false">IF(CF53=1,1,MIN(CD53,IF(CE53=1,3,6),IF(CG53=1,IF(BF53="Early",Parameters!$B$73,Parameters!$B$72),6),IF(CH53=1,3,6),IF(CI53=1,3,6)))</f>
        <v>3</v>
      </c>
      <c r="CK53" s="10" t="str">
        <f aca="false">INDEX(Parameters!$F$2:$F$7,CJ53)</f>
        <v>Hold</v>
      </c>
      <c r="CL53" s="10" t="str">
        <f aca="false">IF(CF53=1,"Hard sell: breakdown; ","")&amp;IF(CE53=1,"Insufficient history; ","")&amp;IF(AND(CF53=0,CG53=1),"Below 200D; ","")&amp;IF(CH53=1,"Extended - wait for pullback; ","")&amp;IF(CI53=1,"Earnings within "&amp;Parameters!$B$77&amp;"d; ","")</f>
        <v>Below 200D; </v>
      </c>
    </row>
    <row r="54" customFormat="false" ht="15" hidden="false" customHeight="false" outlineLevel="0" collapsed="false">
      <c r="A54" s="10" t="s">
        <v>439</v>
      </c>
      <c r="B54" s="10" t="n">
        <v>5</v>
      </c>
      <c r="C54" s="10" t="n">
        <v>5</v>
      </c>
      <c r="D54" s="10" t="n">
        <v>49.4</v>
      </c>
      <c r="E54" s="10" t="n">
        <v>-3.3</v>
      </c>
      <c r="F54" s="10" t="n">
        <v>6</v>
      </c>
      <c r="G54" s="10" t="s">
        <v>440</v>
      </c>
      <c r="H54" s="10" t="s">
        <v>314</v>
      </c>
      <c r="I54" s="10" t="n">
        <v>377.52</v>
      </c>
      <c r="J54" s="10" t="s">
        <v>295</v>
      </c>
      <c r="K54" s="10" t="s">
        <v>296</v>
      </c>
      <c r="L54" s="15" t="n">
        <v>28825193998</v>
      </c>
      <c r="M54" s="16" t="n">
        <v>46266</v>
      </c>
      <c r="N54" s="10" t="n">
        <v>18.01</v>
      </c>
      <c r="O54" s="16" t="n">
        <v>46357</v>
      </c>
      <c r="P54" s="10" t="s">
        <v>297</v>
      </c>
      <c r="Q54" s="10" t="n">
        <v>5.34</v>
      </c>
      <c r="R54" s="10" t="n">
        <v>0.67</v>
      </c>
      <c r="S54" s="10" t="n">
        <v>0.56</v>
      </c>
      <c r="T54" s="10" t="n">
        <v>-7.04</v>
      </c>
      <c r="U54" s="10" t="n">
        <v>-14.04</v>
      </c>
      <c r="V54" s="10" t="n">
        <v>8.4</v>
      </c>
      <c r="W54" s="10" t="n">
        <v>39.53</v>
      </c>
      <c r="X54" s="10" t="n">
        <v>14.02</v>
      </c>
      <c r="Y54" s="10"/>
      <c r="Z54" s="10"/>
      <c r="AA54" s="10"/>
      <c r="AB54" s="10"/>
      <c r="AC54" s="10" t="n">
        <v>3.75</v>
      </c>
      <c r="AD54" s="10" t="n">
        <v>-20.2</v>
      </c>
      <c r="AE54" s="10" t="n">
        <v>45.86</v>
      </c>
      <c r="AF54" s="10" t="n">
        <v>0.53</v>
      </c>
      <c r="AG54" s="10" t="n">
        <v>10.1</v>
      </c>
      <c r="AH54" s="10" t="s">
        <v>441</v>
      </c>
      <c r="AI54" s="10" t="n">
        <v>-10.48</v>
      </c>
      <c r="AJ54" s="10" t="n">
        <v>-0.54</v>
      </c>
      <c r="AK54" s="10" t="n">
        <v>30.5</v>
      </c>
      <c r="AL54" s="10" t="n">
        <v>30.5</v>
      </c>
      <c r="AM54" s="10" t="n">
        <v>2.12</v>
      </c>
      <c r="AN54" s="10" t="n">
        <v>1.99</v>
      </c>
      <c r="AO54" s="10" t="n">
        <v>46.24</v>
      </c>
      <c r="AP54" s="10" t="n">
        <v>-2.73</v>
      </c>
      <c r="AQ54" s="10" t="n">
        <v>3.62</v>
      </c>
      <c r="AR54" s="10" t="n">
        <v>300</v>
      </c>
      <c r="AS54" s="16" t="n">
        <v>46275</v>
      </c>
      <c r="AT54" s="15" t="n">
        <v>2782769920</v>
      </c>
      <c r="AU54" s="15" t="n">
        <v>2022732032</v>
      </c>
      <c r="AV54" s="10" t="n">
        <v>72.69</v>
      </c>
      <c r="AW54" s="15" t="n">
        <v>58897000</v>
      </c>
      <c r="AX54" s="15" t="n">
        <v>561356224</v>
      </c>
      <c r="AY54" s="10" t="n">
        <v>20.17</v>
      </c>
      <c r="AZ54" s="15" t="n">
        <v>2356241016</v>
      </c>
      <c r="BA54" s="10" t="n">
        <v>75.04</v>
      </c>
      <c r="BB54" s="10" t="n">
        <v>62.87</v>
      </c>
      <c r="BC54" s="17" t="n">
        <f aca="false">IF(AND(ISNUMBER(O54),ISNUMBER(AS54)),O54-AS54,"")</f>
        <v>82</v>
      </c>
      <c r="BD54" s="10" t="n">
        <f aca="false">IF(OR(ISNUMBER(SEARCH("ETF",H54)),AND(F54="",AO54="")),1,0)</f>
        <v>0</v>
      </c>
      <c r="BE54" s="17" t="n">
        <f aca="false">IF(ISNUMBER(L54),IF(L54&gt;=Parameters!$B$3,2,IF(L54&gt;=Parameters!$B$4,1,0)),0)+IF(ISNUMBER(AW54),IF(AW54&gt;0,IF(AND(ISNUMBER(AM54),AM54&gt;=Parameters!$B$5),2,1),0),0)+IF(ISNUMBER(AX54),IF(AND(AX54&gt;0,ISNUMBER(AY54),AY54&gt;=Parameters!$B$6),1,0),0)+IF(ISNUMBER(AO54),IF(AND(AO54&gt;0,AO54&lt;=Parameters!$B$7),1,0),0)+IF(ISNUMBER(F54),IF(F54&gt;=Parameters!$B$8,1,0),0)</f>
        <v>3</v>
      </c>
      <c r="BF54" s="10" t="str">
        <f aca="false">IF(BD54=1,"ETF",IF(OR(AND(ISNUMBER(L54),L54&gt;=Parameters!$B$10),BE54&gt;=Parameters!$B$9),"Established","Early"))</f>
        <v>Early</v>
      </c>
      <c r="BG54" s="10" t="n">
        <f aca="false">IF(LEFT(AH54,6)="Golden",2,IF(LEFT(AH54,5)="Death",-2,0))</f>
        <v>2</v>
      </c>
      <c r="BH54" s="10" t="n">
        <f aca="false">IF(ISNUMBER(AG54),IF(AG54&gt;Parameters!$B$12,2,IF(AG54&gt;0,1,IF(AG54&gt;=Parameters!$B$13,-1,-2))),0)</f>
        <v>2</v>
      </c>
      <c r="BI54" s="10" t="n">
        <f aca="false">IF(ISNUMBER(AF54),IF(AND(AF54&gt;=Parameters!$B$14,AF54&lt;=Parameters!$B$15),1,IF(OR(AF54&gt;Parameters!$B$16,AF54&lt;Parameters!$B$17),-1,0)),0)</f>
        <v>1</v>
      </c>
      <c r="BJ54" s="10" t="n">
        <f aca="false">IF(ISNUMBER(AE54),IF(AND(AE54&gt;=Parameters!$B$18,AE54&lt;=Parameters!$B$19),1,IF(OR(AE54&gt;Parameters!$B$20,AE54&lt;Parameters!$B$21),-1,0)),0)</f>
        <v>1</v>
      </c>
      <c r="BK54" s="10" t="n">
        <f aca="false">IF(ISNUMBER(E54),IF(E54&gt;Parameters!$B$22,1,IF(E54&lt;Parameters!$B$23,-1,0)),0)</f>
        <v>0</v>
      </c>
      <c r="BL54" s="10" t="n">
        <f aca="false">IF(ISNUMBER(C54),IF(C54&gt;=Parameters!$B$24,1,IF(C54&lt;=Parameters!$B$25,-1,0)),0)</f>
        <v>0</v>
      </c>
      <c r="BM54" s="10" t="n">
        <f aca="false">IF(ISNUMBER(AJ54),IF(AND(AJ54&gt;Parameters!$B$26,ISNUMBER(U54)),IF(U54&lt;0,-1,1),0),0)</f>
        <v>0</v>
      </c>
      <c r="BN54" s="10" t="n">
        <f aca="false">IF(ISNUMBER(AD54),IF(AD54&gt;Parameters!$B$27,1,IF(AD54&lt;Parameters!$B$28,-1,0)),0)</f>
        <v>0</v>
      </c>
      <c r="BO54" s="17" t="n">
        <f aca="false">BG54+BH54+BI54+BJ54+BK54+BL54+BM54+BN54</f>
        <v>6</v>
      </c>
      <c r="BP54" s="10" t="n">
        <f aca="false">IF(ISNUMBER(F54),IF(F54&gt;=Parameters!$B$30,2,IF(F54&gt;=Parameters!$B$31,1,IF(F54&lt;=Parameters!$B$32,-1,0))),0)</f>
        <v>1</v>
      </c>
      <c r="BQ54" s="10" t="n">
        <f aca="false">IF(ISNUMBER(AK54),IF(AK54&gt;Parameters!$B$33,1,IF(AK54&lt;0,-1,0)),0)</f>
        <v>1</v>
      </c>
      <c r="BR54" s="10" t="n">
        <f aca="false">IF(ISNUMBER(AL54),IF(AL54&gt;Parameters!$B$34,1,IF(AL54&lt;0,-1,0)),0)</f>
        <v>1</v>
      </c>
      <c r="BS54" s="10" t="n">
        <f aca="false">IF(ISNUMBER(AP54),IF(AND(AP54&gt;0,AP54&lt;=Parameters!$B$35),1,IF(AP54&gt;Parameters!$B$36,-1,0)),0)</f>
        <v>0</v>
      </c>
      <c r="BT54" s="10" t="n">
        <f aca="false">IF(ISNUMBER(AY54),IF(AY54&gt;Parameters!$B$37,1,IF(AY54&lt;0,-1,0)),0)</f>
        <v>1</v>
      </c>
      <c r="BU54" s="10" t="n">
        <f aca="false">IF(ISNUMBER(AZ54),IF(AZ54&gt;0,1,0),0)</f>
        <v>1</v>
      </c>
      <c r="BV54" s="10" t="n">
        <f aca="false">IF(ISNUMBER(AL54),IF(AL54&gt;Parameters!$B$39,2,IF(AL54&gt;Parameters!$B$40,1,IF(AL54&lt;0,-2,IF(AL54&lt;Parameters!$B$41,-1,0)))),0)</f>
        <v>2</v>
      </c>
      <c r="BW54" s="10" t="n">
        <f aca="false">IF(ISNUMBER(AV54),IF(AV54&gt;Parameters!$B$42,1,IF(AV54&lt;Parameters!$B$43,-1,0)),0)</f>
        <v>1</v>
      </c>
      <c r="BX54" s="10" t="n">
        <f aca="false">IF(AND(ISNUMBER(AX54),AX54&gt;0),1,IF(AND(ISNUMBER(AY54),AY54&lt;Parameters!$B$44),-1,0))</f>
        <v>1</v>
      </c>
      <c r="BY54" s="10" t="n">
        <f aca="false">IF(ISNUMBER(AW54),IF(AW54&gt;0,1,0),0)</f>
        <v>1</v>
      </c>
      <c r="BZ54" s="10" t="n">
        <f aca="false">IF(ISNUMBER(AQ54),IF(AQ54&gt;Parameters!$B$46,-2,IF(AQ54&gt;Parameters!$B$45,-1,0)),0)</f>
        <v>0</v>
      </c>
      <c r="CA54" s="10" t="n">
        <f aca="false">IF(ISNUMBER(F54),IF(F54&gt;=Parameters!$B$47,1,IF(F54&lt;=Parameters!$B$48,-1,0)),0)</f>
        <v>1</v>
      </c>
      <c r="CB54" s="17" t="n">
        <f aca="false">IF(BF54="Established",BP54+BQ54+BR54+BS54+BT54+BU54,IF(BF54="Early",BV54+BW54+BX54+BY54+BZ54+CA54,0))</f>
        <v>6</v>
      </c>
      <c r="CC54" s="18" t="n">
        <f aca="false">IF(BF54="Established",BO54+CB54,IF(BF54="Early",BO54+Parameters!$B$50*CB54,BO54))</f>
        <v>9</v>
      </c>
      <c r="CD54" s="17" t="n">
        <f aca="false">IF(BF54="Established",IF(CC54&gt;=Parameters!$B$51,6,IF(CC54&gt;=Parameters!$B$52,5,IF(CC54&gt;=Parameters!$B$53,4,IF(CC54&gt;=Parameters!$B$54,3,IF(CC54&gt;=Parameters!$B$55,2,1))))),IF(BF54="Early",IF(CC54&gt;=Parameters!$B$56,5,IF(CC54&gt;=Parameters!$B$57,4,IF(CC54&gt;=Parameters!$B$58,3,IF(CC54&gt;=Parameters!$B$59,2,1)))),IF(CC54&gt;=Parameters!$B$60,6,IF(CC54&gt;=Parameters!$B$61,5,IF(CC54&gt;=Parameters!$B$62,4,IF(CC54&gt;=Parameters!$B$63,3,IF(CC54&gt;=Parameters!$B$64,2,1)))))))</f>
        <v>5</v>
      </c>
      <c r="CE54" s="10" t="n">
        <f aca="false">IF(AND(ISNUMBER(AR54),AR54&lt;Parameters!$B$66),1,0)</f>
        <v>0</v>
      </c>
      <c r="CF54" s="10" t="n">
        <f aca="false">IF(AND(LEFT(AH54,5)="Death",ISNUMBER(AG54)),IF(BF54="Early",IF(AND(AG54&lt;Parameters!$B$70,ISNUMBER(U54),U54&lt;Parameters!$B$71),1,0),IF(AND(AG54&lt;Parameters!$B$67,OR(AND(ISNUMBER(U54),U54&lt;Parameters!$B$68),AND(ISNUMBER(V54),V54&lt;Parameters!$B$69))),1,0)),0)</f>
        <v>0</v>
      </c>
      <c r="CG54" s="10" t="n">
        <f aca="false">IF(AND(ISNUMBER(AG54),AG54&lt;0),1,0)</f>
        <v>0</v>
      </c>
      <c r="CH54" s="10" t="n">
        <f aca="false">IF(OR(AND(ISNUMBER(U54),U54&gt;Parameters!$B$74),AND(ISNUMBER(AF54),AF54&gt;Parameters!$B$75),AND(ISNUMBER(AE54),AE54&gt;Parameters!$B$76)),1,0)</f>
        <v>0</v>
      </c>
      <c r="CI54" s="10" t="n">
        <f aca="false">IF(AND(ISNUMBER(BC54),BC54&gt;=0,BC54&lt;=Parameters!$B$77),1,0)</f>
        <v>0</v>
      </c>
      <c r="CJ54" s="17" t="n">
        <f aca="false">IF(CF54=1,1,MIN(CD54,IF(CE54=1,3,6),IF(CG54=1,IF(BF54="Early",Parameters!$B$73,Parameters!$B$72),6),IF(CH54=1,3,6),IF(CI54=1,3,6)))</f>
        <v>5</v>
      </c>
      <c r="CK54" s="10" t="str">
        <f aca="false">INDEX(Parameters!$F$2:$F$7,CJ54)</f>
        <v>Buy</v>
      </c>
      <c r="CL54" s="10" t="str">
        <f aca="false">IF(CF54=1,"Hard sell: breakdown; ","")&amp;IF(CE54=1,"Insufficient history; ","")&amp;IF(AND(CF54=0,CG54=1),"Below 200D; ","")&amp;IF(CH54=1,"Extended - wait for pullback; ","")&amp;IF(CI54=1,"Earnings within "&amp;Parameters!$B$77&amp;"d; ","")</f>
        <v/>
      </c>
    </row>
    <row r="55" customFormat="false" ht="15" hidden="false" customHeight="false" outlineLevel="0" collapsed="false">
      <c r="A55" s="10" t="s">
        <v>442</v>
      </c>
      <c r="B55" s="10" t="n">
        <v>5</v>
      </c>
      <c r="C55" s="10" t="n">
        <v>4</v>
      </c>
      <c r="D55" s="10" t="n">
        <v>46.6</v>
      </c>
      <c r="E55" s="10" t="n">
        <v>-13.7</v>
      </c>
      <c r="F55" s="10" t="n">
        <v>8</v>
      </c>
      <c r="G55" s="10" t="s">
        <v>443</v>
      </c>
      <c r="H55" s="10" t="s">
        <v>349</v>
      </c>
      <c r="I55" s="10" t="n">
        <v>126.73</v>
      </c>
      <c r="J55" s="10" t="s">
        <v>295</v>
      </c>
      <c r="K55" s="10" t="s">
        <v>296</v>
      </c>
      <c r="L55" s="15" t="n">
        <v>163133584011</v>
      </c>
      <c r="M55" s="16" t="n">
        <v>46239</v>
      </c>
      <c r="N55" s="10" t="n">
        <v>5</v>
      </c>
      <c r="O55" s="16" t="n">
        <v>46330</v>
      </c>
      <c r="P55" s="10" t="s">
        <v>297</v>
      </c>
      <c r="Q55" s="10" t="n">
        <v>-0.05</v>
      </c>
      <c r="R55" s="10" t="n">
        <v>-5.45</v>
      </c>
      <c r="S55" s="10" t="n">
        <v>-10.67</v>
      </c>
      <c r="T55" s="10" t="n">
        <v>-15.68</v>
      </c>
      <c r="U55" s="10" t="n">
        <v>-16.96</v>
      </c>
      <c r="V55" s="10" t="n">
        <v>17.13</v>
      </c>
      <c r="W55" s="10" t="n">
        <v>-2.15</v>
      </c>
      <c r="X55" s="10" t="n">
        <v>-11.65</v>
      </c>
      <c r="Y55" s="10"/>
      <c r="Z55" s="10"/>
      <c r="AA55" s="10"/>
      <c r="AB55" s="10"/>
      <c r="AC55" s="10" t="n">
        <v>12.48</v>
      </c>
      <c r="AD55" s="10" t="n">
        <v>-30.44</v>
      </c>
      <c r="AE55" s="10" t="n">
        <v>36.86</v>
      </c>
      <c r="AF55" s="10" t="n">
        <v>-6.12</v>
      </c>
      <c r="AG55" s="10" t="n">
        <v>-3.32</v>
      </c>
      <c r="AH55" s="10" t="s">
        <v>346</v>
      </c>
      <c r="AI55" s="10" t="n">
        <v>-3.57</v>
      </c>
      <c r="AJ55" s="10" t="n">
        <v>19.85</v>
      </c>
      <c r="AK55" s="10" t="n">
        <v>65.8</v>
      </c>
      <c r="AL55" s="10" t="n">
        <v>33.7</v>
      </c>
      <c r="AM55" s="10" t="n">
        <v>14.53</v>
      </c>
      <c r="AN55" s="10" t="n">
        <v>15.54</v>
      </c>
      <c r="AO55" s="10" t="n">
        <v>55.02</v>
      </c>
      <c r="AP55" s="10" t="n">
        <v>1.39</v>
      </c>
      <c r="AQ55" s="10" t="n">
        <v>1.28</v>
      </c>
      <c r="AR55" s="10" t="n">
        <v>300</v>
      </c>
      <c r="AS55" s="16" t="n">
        <v>46275</v>
      </c>
      <c r="AT55" s="15" t="n">
        <v>13269000192</v>
      </c>
      <c r="AU55" s="15" t="n">
        <v>6337999872</v>
      </c>
      <c r="AV55" s="10" t="n">
        <v>47.77</v>
      </c>
      <c r="AW55" s="15" t="n">
        <v>1928000000</v>
      </c>
      <c r="AX55" s="15" t="n">
        <v>1587750016</v>
      </c>
      <c r="AY55" s="10" t="n">
        <v>11.97</v>
      </c>
      <c r="AZ55" s="15" t="n">
        <v>4768999808</v>
      </c>
      <c r="BA55" s="10" t="n">
        <v>34.82</v>
      </c>
      <c r="BB55" s="10" t="n">
        <v>37.11</v>
      </c>
      <c r="BC55" s="17" t="n">
        <f aca="false">IF(AND(ISNUMBER(O55),ISNUMBER(AS55)),O55-AS55,"")</f>
        <v>55</v>
      </c>
      <c r="BD55" s="10" t="n">
        <f aca="false">IF(OR(ISNUMBER(SEARCH("ETF",H55)),AND(F55="",AO55="")),1,0)</f>
        <v>0</v>
      </c>
      <c r="BE55" s="17" t="n">
        <f aca="false">IF(ISNUMBER(L55),IF(L55&gt;=Parameters!$B$3,2,IF(L55&gt;=Parameters!$B$4,1,0)),0)+IF(ISNUMBER(AW55),IF(AW55&gt;0,IF(AND(ISNUMBER(AM55),AM55&gt;=Parameters!$B$5),2,1),0),0)+IF(ISNUMBER(AX55),IF(AND(AX55&gt;0,ISNUMBER(AY55),AY55&gt;=Parameters!$B$6),1,0),0)+IF(ISNUMBER(AO55),IF(AND(AO55&gt;0,AO55&lt;=Parameters!$B$7),1,0),0)+IF(ISNUMBER(F55),IF(F55&gt;=Parameters!$B$8,1,0),0)</f>
        <v>6</v>
      </c>
      <c r="BF55" s="10" t="str">
        <f aca="false">IF(BD55=1,"ETF",IF(OR(AND(ISNUMBER(L55),L55&gt;=Parameters!$B$10),BE55&gt;=Parameters!$B$9),"Established","Early"))</f>
        <v>Established</v>
      </c>
      <c r="BG55" s="10" t="n">
        <f aca="false">IF(LEFT(AH55,6)="Golden",2,IF(LEFT(AH55,5)="Death",-2,0))</f>
        <v>2</v>
      </c>
      <c r="BH55" s="10" t="n">
        <f aca="false">IF(ISNUMBER(AG55),IF(AG55&gt;Parameters!$B$12,2,IF(AG55&gt;0,1,IF(AG55&gt;=Parameters!$B$13,-1,-2))),0)</f>
        <v>-1</v>
      </c>
      <c r="BI55" s="10" t="n">
        <f aca="false">IF(ISNUMBER(AF55),IF(AND(AF55&gt;=Parameters!$B$14,AF55&lt;=Parameters!$B$15),1,IF(OR(AF55&gt;Parameters!$B$16,AF55&lt;Parameters!$B$17),-1,0)),0)</f>
        <v>0</v>
      </c>
      <c r="BJ55" s="10" t="n">
        <f aca="false">IF(ISNUMBER(AE55),IF(AND(AE55&gt;=Parameters!$B$18,AE55&lt;=Parameters!$B$19),1,IF(OR(AE55&gt;Parameters!$B$20,AE55&lt;Parameters!$B$21),-1,0)),0)</f>
        <v>0</v>
      </c>
      <c r="BK55" s="10" t="n">
        <f aca="false">IF(ISNUMBER(E55),IF(E55&gt;Parameters!$B$22,1,IF(E55&lt;Parameters!$B$23,-1,0)),0)</f>
        <v>-1</v>
      </c>
      <c r="BL55" s="10" t="n">
        <f aca="false">IF(ISNUMBER(C55),IF(C55&gt;=Parameters!$B$24,1,IF(C55&lt;=Parameters!$B$25,-1,0)),0)</f>
        <v>0</v>
      </c>
      <c r="BM55" s="10" t="n">
        <f aca="false">IF(ISNUMBER(AJ55),IF(AND(AJ55&gt;Parameters!$B$26,ISNUMBER(U55)),IF(U55&lt;0,-1,1),0),0)</f>
        <v>-1</v>
      </c>
      <c r="BN55" s="10" t="n">
        <f aca="false">IF(ISNUMBER(AD55),IF(AD55&gt;Parameters!$B$27,1,IF(AD55&lt;Parameters!$B$28,-1,0)),0)</f>
        <v>-1</v>
      </c>
      <c r="BO55" s="17" t="n">
        <f aca="false">BG55+BH55+BI55+BJ55+BK55+BL55+BM55+BN55</f>
        <v>-2</v>
      </c>
      <c r="BP55" s="10" t="n">
        <f aca="false">IF(ISNUMBER(F55),IF(F55&gt;=Parameters!$B$30,2,IF(F55&gt;=Parameters!$B$31,1,IF(F55&lt;=Parameters!$B$32,-1,0))),0)</f>
        <v>2</v>
      </c>
      <c r="BQ55" s="10" t="n">
        <f aca="false">IF(ISNUMBER(AK55),IF(AK55&gt;Parameters!$B$33,1,IF(AK55&lt;0,-1,0)),0)</f>
        <v>1</v>
      </c>
      <c r="BR55" s="10" t="n">
        <f aca="false">IF(ISNUMBER(AL55),IF(AL55&gt;Parameters!$B$34,1,IF(AL55&lt;0,-1,0)),0)</f>
        <v>1</v>
      </c>
      <c r="BS55" s="10" t="n">
        <f aca="false">IF(ISNUMBER(AP55),IF(AND(AP55&gt;0,AP55&lt;=Parameters!$B$35),1,IF(AP55&gt;Parameters!$B$36,-1,0)),0)</f>
        <v>1</v>
      </c>
      <c r="BT55" s="10" t="n">
        <f aca="false">IF(ISNUMBER(AY55),IF(AY55&gt;Parameters!$B$37,1,IF(AY55&lt;0,-1,0)),0)</f>
        <v>1</v>
      </c>
      <c r="BU55" s="10" t="n">
        <f aca="false">IF(ISNUMBER(AZ55),IF(AZ55&gt;0,1,0),0)</f>
        <v>1</v>
      </c>
      <c r="BV55" s="10" t="n">
        <f aca="false">IF(ISNUMBER(AL55),IF(AL55&gt;Parameters!$B$39,2,IF(AL55&gt;Parameters!$B$40,1,IF(AL55&lt;0,-2,IF(AL55&lt;Parameters!$B$41,-1,0)))),0)</f>
        <v>2</v>
      </c>
      <c r="BW55" s="10" t="n">
        <f aca="false">IF(ISNUMBER(AV55),IF(AV55&gt;Parameters!$B$42,1,IF(AV55&lt;Parameters!$B$43,-1,0)),0)</f>
        <v>0</v>
      </c>
      <c r="BX55" s="10" t="n">
        <f aca="false">IF(AND(ISNUMBER(AX55),AX55&gt;0),1,IF(AND(ISNUMBER(AY55),AY55&lt;Parameters!$B$44),-1,0))</f>
        <v>1</v>
      </c>
      <c r="BY55" s="10" t="n">
        <f aca="false">IF(ISNUMBER(AW55),IF(AW55&gt;0,1,0),0)</f>
        <v>1</v>
      </c>
      <c r="BZ55" s="10" t="n">
        <f aca="false">IF(ISNUMBER(AQ55),IF(AQ55&gt;Parameters!$B$46,-2,IF(AQ55&gt;Parameters!$B$45,-1,0)),0)</f>
        <v>0</v>
      </c>
      <c r="CA55" s="10" t="n">
        <f aca="false">IF(ISNUMBER(F55),IF(F55&gt;=Parameters!$B$47,1,IF(F55&lt;=Parameters!$B$48,-1,0)),0)</f>
        <v>1</v>
      </c>
      <c r="CB55" s="17" t="n">
        <f aca="false">IF(BF55="Established",BP55+BQ55+BR55+BS55+BT55+BU55,IF(BF55="Early",BV55+BW55+BX55+BY55+BZ55+CA55,0))</f>
        <v>7</v>
      </c>
      <c r="CC55" s="18" t="n">
        <f aca="false">IF(BF55="Established",BO55+CB55,IF(BF55="Early",BO55+Parameters!$B$50*CB55,BO55))</f>
        <v>5</v>
      </c>
      <c r="CD55" s="17" t="n">
        <f aca="false">IF(BF55="Established",IF(CC55&gt;=Parameters!$B$51,6,IF(CC55&gt;=Parameters!$B$52,5,IF(CC55&gt;=Parameters!$B$53,4,IF(CC55&gt;=Parameters!$B$54,3,IF(CC55&gt;=Parameters!$B$55,2,1))))),IF(BF55="Early",IF(CC55&gt;=Parameters!$B$56,5,IF(CC55&gt;=Parameters!$B$57,4,IF(CC55&gt;=Parameters!$B$58,3,IF(CC55&gt;=Parameters!$B$59,2,1)))),IF(CC55&gt;=Parameters!$B$60,6,IF(CC55&gt;=Parameters!$B$61,5,IF(CC55&gt;=Parameters!$B$62,4,IF(CC55&gt;=Parameters!$B$63,3,IF(CC55&gt;=Parameters!$B$64,2,1)))))))</f>
        <v>4</v>
      </c>
      <c r="CE55" s="10" t="n">
        <f aca="false">IF(AND(ISNUMBER(AR55),AR55&lt;Parameters!$B$66),1,0)</f>
        <v>0</v>
      </c>
      <c r="CF55" s="10" t="n">
        <f aca="false">IF(AND(LEFT(AH55,5)="Death",ISNUMBER(AG55)),IF(BF55="Early",IF(AND(AG55&lt;Parameters!$B$70,ISNUMBER(U55),U55&lt;Parameters!$B$71),1,0),IF(AND(AG55&lt;Parameters!$B$67,OR(AND(ISNUMBER(U55),U55&lt;Parameters!$B$68),AND(ISNUMBER(V55),V55&lt;Parameters!$B$69))),1,0)),0)</f>
        <v>0</v>
      </c>
      <c r="CG55" s="10" t="n">
        <f aca="false">IF(AND(ISNUMBER(AG55),AG55&lt;0),1,0)</f>
        <v>1</v>
      </c>
      <c r="CH55" s="10" t="n">
        <f aca="false">IF(OR(AND(ISNUMBER(U55),U55&gt;Parameters!$B$74),AND(ISNUMBER(AF55),AF55&gt;Parameters!$B$75),AND(ISNUMBER(AE55),AE55&gt;Parameters!$B$76)),1,0)</f>
        <v>0</v>
      </c>
      <c r="CI55" s="10" t="n">
        <f aca="false">IF(AND(ISNUMBER(BC55),BC55&gt;=0,BC55&lt;=Parameters!$B$77),1,0)</f>
        <v>0</v>
      </c>
      <c r="CJ55" s="17" t="n">
        <f aca="false">IF(CF55=1,1,MIN(CD55,IF(CE55=1,3,6),IF(CG55=1,IF(BF55="Early",Parameters!$B$73,Parameters!$B$72),6),IF(CH55=1,3,6),IF(CI55=1,3,6)))</f>
        <v>3</v>
      </c>
      <c r="CK55" s="10" t="str">
        <f aca="false">INDEX(Parameters!$F$2:$F$7,CJ55)</f>
        <v>Hold</v>
      </c>
      <c r="CL55" s="10" t="str">
        <f aca="false">IF(CF55=1,"Hard sell: breakdown; ","")&amp;IF(CE55=1,"Insufficient history; ","")&amp;IF(AND(CF55=0,CG55=1),"Below 200D; ","")&amp;IF(CH55=1,"Extended - wait for pullback; ","")&amp;IF(CI55=1,"Earnings within "&amp;Parameters!$B$77&amp;"d; ","")</f>
        <v>Below 200D; </v>
      </c>
    </row>
    <row r="56" customFormat="false" ht="15" hidden="false" customHeight="false" outlineLevel="0" collapsed="false">
      <c r="A56" s="10" t="s">
        <v>444</v>
      </c>
      <c r="B56" s="10" t="n">
        <v>5</v>
      </c>
      <c r="C56" s="10" t="n">
        <v>5</v>
      </c>
      <c r="D56" s="10" t="n">
        <v>52.3</v>
      </c>
      <c r="E56" s="10" t="n">
        <v>-7.3</v>
      </c>
      <c r="F56" s="10" t="n">
        <v>6</v>
      </c>
      <c r="G56" s="10" t="s">
        <v>445</v>
      </c>
      <c r="H56" s="10" t="s">
        <v>386</v>
      </c>
      <c r="I56" s="10" t="n">
        <v>100.18</v>
      </c>
      <c r="J56" s="10" t="s">
        <v>295</v>
      </c>
      <c r="K56" s="10" t="s">
        <v>366</v>
      </c>
      <c r="L56" s="15" t="n">
        <v>114045601140</v>
      </c>
      <c r="M56" s="16" t="n">
        <v>46232</v>
      </c>
      <c r="N56" s="10" t="n">
        <v>30.77</v>
      </c>
      <c r="O56" s="16" t="n">
        <v>46323</v>
      </c>
      <c r="P56" s="10" t="s">
        <v>297</v>
      </c>
      <c r="Q56" s="10" t="n">
        <v>0.14</v>
      </c>
      <c r="R56" s="10" t="n">
        <v>-1.93</v>
      </c>
      <c r="S56" s="10" t="n">
        <v>-6.13</v>
      </c>
      <c r="T56" s="10" t="n">
        <v>-7.66</v>
      </c>
      <c r="U56" s="10" t="n">
        <v>-6.08</v>
      </c>
      <c r="V56" s="10" t="n">
        <v>1.44</v>
      </c>
      <c r="W56" s="10" t="n">
        <v>-1.24</v>
      </c>
      <c r="X56" s="10" t="n">
        <v>19.53</v>
      </c>
      <c r="Y56" s="10"/>
      <c r="Z56" s="10"/>
      <c r="AA56" s="10"/>
      <c r="AB56" s="10"/>
      <c r="AC56" s="10" t="n">
        <v>-3.2</v>
      </c>
      <c r="AD56" s="10" t="n">
        <v>-9.35</v>
      </c>
      <c r="AE56" s="10" t="n">
        <v>34.91</v>
      </c>
      <c r="AF56" s="10" t="n">
        <v>-4.83</v>
      </c>
      <c r="AG56" s="10" t="n">
        <v>2.32</v>
      </c>
      <c r="AH56" s="10" t="s">
        <v>301</v>
      </c>
      <c r="AI56" s="10" t="n">
        <v>-0.86</v>
      </c>
      <c r="AJ56" s="10" t="n">
        <v>-21.73</v>
      </c>
      <c r="AK56" s="10" t="n">
        <v>87.2</v>
      </c>
      <c r="AL56" s="10" t="n">
        <v>-1.4</v>
      </c>
      <c r="AM56" s="10" t="n">
        <v>5.17</v>
      </c>
      <c r="AN56" s="10" t="n">
        <v>-22.95</v>
      </c>
      <c r="AO56" s="10" t="n">
        <v>32.96</v>
      </c>
      <c r="AP56" s="10" t="n">
        <v>0.69</v>
      </c>
      <c r="AQ56" s="10" t="n">
        <v>3.28</v>
      </c>
      <c r="AR56" s="10" t="n">
        <v>300</v>
      </c>
      <c r="AS56" s="16" t="n">
        <v>46275</v>
      </c>
      <c r="AT56" s="15" t="n">
        <v>38338301952</v>
      </c>
      <c r="AU56" s="15" t="n">
        <v>8565100032</v>
      </c>
      <c r="AV56" s="10" t="n">
        <v>22.34</v>
      </c>
      <c r="AW56" s="15" t="n">
        <v>1982800000</v>
      </c>
      <c r="AX56" s="15" t="n">
        <v>3065537536</v>
      </c>
      <c r="AY56" s="10" t="n">
        <v>8</v>
      </c>
      <c r="AZ56" s="15" t="n">
        <v>-18842800640</v>
      </c>
      <c r="BA56" s="10" t="n">
        <v>28.45</v>
      </c>
      <c r="BB56" s="10" t="n">
        <v>68.23</v>
      </c>
      <c r="BC56" s="17" t="n">
        <f aca="false">IF(AND(ISNUMBER(O56),ISNUMBER(AS56)),O56-AS56,"")</f>
        <v>48</v>
      </c>
      <c r="BD56" s="10" t="n">
        <f aca="false">IF(OR(ISNUMBER(SEARCH("ETF",H56)),AND(F56="",AO56="")),1,0)</f>
        <v>0</v>
      </c>
      <c r="BE56" s="17" t="n">
        <f aca="false">IF(ISNUMBER(L56),IF(L56&gt;=Parameters!$B$3,2,IF(L56&gt;=Parameters!$B$4,1,0)),0)+IF(ISNUMBER(AW56),IF(AW56&gt;0,IF(AND(ISNUMBER(AM56),AM56&gt;=Parameters!$B$5),2,1),0),0)+IF(ISNUMBER(AX56),IF(AND(AX56&gt;0,ISNUMBER(AY56),AY56&gt;=Parameters!$B$6),1,0),0)+IF(ISNUMBER(AO56),IF(AND(AO56&gt;0,AO56&lt;=Parameters!$B$7),1,0),0)+IF(ISNUMBER(F56),IF(F56&gt;=Parameters!$B$8,1,0),0)</f>
        <v>6</v>
      </c>
      <c r="BF56" s="10" t="str">
        <f aca="false">IF(BD56=1,"ETF",IF(OR(AND(ISNUMBER(L56),L56&gt;=Parameters!$B$10),BE56&gt;=Parameters!$B$9),"Established","Early"))</f>
        <v>Established</v>
      </c>
      <c r="BG56" s="10" t="n">
        <f aca="false">IF(LEFT(AH56,6)="Golden",2,IF(LEFT(AH56,5)="Death",-2,0))</f>
        <v>2</v>
      </c>
      <c r="BH56" s="10" t="n">
        <f aca="false">IF(ISNUMBER(AG56),IF(AG56&gt;Parameters!$B$12,2,IF(AG56&gt;0,1,IF(AG56&gt;=Parameters!$B$13,-1,-2))),0)</f>
        <v>1</v>
      </c>
      <c r="BI56" s="10" t="n">
        <f aca="false">IF(ISNUMBER(AF56),IF(AND(AF56&gt;=Parameters!$B$14,AF56&lt;=Parameters!$B$15),1,IF(OR(AF56&gt;Parameters!$B$16,AF56&lt;Parameters!$B$17),-1,0)),0)</f>
        <v>0</v>
      </c>
      <c r="BJ56" s="10" t="n">
        <f aca="false">IF(ISNUMBER(AE56),IF(AND(AE56&gt;=Parameters!$B$18,AE56&lt;=Parameters!$B$19),1,IF(OR(AE56&gt;Parameters!$B$20,AE56&lt;Parameters!$B$21),-1,0)),0)</f>
        <v>-1</v>
      </c>
      <c r="BK56" s="10" t="n">
        <f aca="false">IF(ISNUMBER(E56),IF(E56&gt;Parameters!$B$22,1,IF(E56&lt;Parameters!$B$23,-1,0)),0)</f>
        <v>-1</v>
      </c>
      <c r="BL56" s="10" t="n">
        <f aca="false">IF(ISNUMBER(C56),IF(C56&gt;=Parameters!$B$24,1,IF(C56&lt;=Parameters!$B$25,-1,0)),0)</f>
        <v>0</v>
      </c>
      <c r="BM56" s="10" t="n">
        <f aca="false">IF(ISNUMBER(AJ56),IF(AND(AJ56&gt;Parameters!$B$26,ISNUMBER(U56)),IF(U56&lt;0,-1,1),0),0)</f>
        <v>0</v>
      </c>
      <c r="BN56" s="10" t="n">
        <f aca="false">IF(ISNUMBER(AD56),IF(AD56&gt;Parameters!$B$27,1,IF(AD56&lt;Parameters!$B$28,-1,0)),0)</f>
        <v>1</v>
      </c>
      <c r="BO56" s="17" t="n">
        <f aca="false">BG56+BH56+BI56+BJ56+BK56+BL56+BM56+BN56</f>
        <v>2</v>
      </c>
      <c r="BP56" s="10" t="n">
        <f aca="false">IF(ISNUMBER(F56),IF(F56&gt;=Parameters!$B$30,2,IF(F56&gt;=Parameters!$B$31,1,IF(F56&lt;=Parameters!$B$32,-1,0))),0)</f>
        <v>1</v>
      </c>
      <c r="BQ56" s="10" t="n">
        <f aca="false">IF(ISNUMBER(AK56),IF(AK56&gt;Parameters!$B$33,1,IF(AK56&lt;0,-1,0)),0)</f>
        <v>1</v>
      </c>
      <c r="BR56" s="10" t="n">
        <f aca="false">IF(ISNUMBER(AL56),IF(AL56&gt;Parameters!$B$34,1,IF(AL56&lt;0,-1,0)),0)</f>
        <v>-1</v>
      </c>
      <c r="BS56" s="10" t="n">
        <f aca="false">IF(ISNUMBER(AP56),IF(AND(AP56&gt;0,AP56&lt;=Parameters!$B$35),1,IF(AP56&gt;Parameters!$B$36,-1,0)),0)</f>
        <v>1</v>
      </c>
      <c r="BT56" s="10" t="n">
        <f aca="false">IF(ISNUMBER(AY56),IF(AY56&gt;Parameters!$B$37,1,IF(AY56&lt;0,-1,0)),0)</f>
        <v>0</v>
      </c>
      <c r="BU56" s="10" t="n">
        <f aca="false">IF(ISNUMBER(AZ56),IF(AZ56&gt;0,1,0),0)</f>
        <v>0</v>
      </c>
      <c r="BV56" s="10" t="n">
        <f aca="false">IF(ISNUMBER(AL56),IF(AL56&gt;Parameters!$B$39,2,IF(AL56&gt;Parameters!$B$40,1,IF(AL56&lt;0,-2,IF(AL56&lt;Parameters!$B$41,-1,0)))),0)</f>
        <v>-2</v>
      </c>
      <c r="BW56" s="10" t="n">
        <f aca="false">IF(ISNUMBER(AV56),IF(AV56&gt;Parameters!$B$42,1,IF(AV56&lt;Parameters!$B$43,-1,0)),0)</f>
        <v>-1</v>
      </c>
      <c r="BX56" s="10" t="n">
        <f aca="false">IF(AND(ISNUMBER(AX56),AX56&gt;0),1,IF(AND(ISNUMBER(AY56),AY56&lt;Parameters!$B$44),-1,0))</f>
        <v>1</v>
      </c>
      <c r="BY56" s="10" t="n">
        <f aca="false">IF(ISNUMBER(AW56),IF(AW56&gt;0,1,0),0)</f>
        <v>1</v>
      </c>
      <c r="BZ56" s="10" t="n">
        <f aca="false">IF(ISNUMBER(AQ56),IF(AQ56&gt;Parameters!$B$46,-2,IF(AQ56&gt;Parameters!$B$45,-1,0)),0)</f>
        <v>0</v>
      </c>
      <c r="CA56" s="10" t="n">
        <f aca="false">IF(ISNUMBER(F56),IF(F56&gt;=Parameters!$B$47,1,IF(F56&lt;=Parameters!$B$48,-1,0)),0)</f>
        <v>1</v>
      </c>
      <c r="CB56" s="17" t="n">
        <f aca="false">IF(BF56="Established",BP56+BQ56+BR56+BS56+BT56+BU56,IF(BF56="Early",BV56+BW56+BX56+BY56+BZ56+CA56,0))</f>
        <v>2</v>
      </c>
      <c r="CC56" s="18" t="n">
        <f aca="false">IF(BF56="Established",BO56+CB56,IF(BF56="Early",BO56+Parameters!$B$50*CB56,BO56))</f>
        <v>4</v>
      </c>
      <c r="CD56" s="17" t="n">
        <f aca="false">IF(BF56="Established",IF(CC56&gt;=Parameters!$B$51,6,IF(CC56&gt;=Parameters!$B$52,5,IF(CC56&gt;=Parameters!$B$53,4,IF(CC56&gt;=Parameters!$B$54,3,IF(CC56&gt;=Parameters!$B$55,2,1))))),IF(BF56="Early",IF(CC56&gt;=Parameters!$B$56,5,IF(CC56&gt;=Parameters!$B$57,4,IF(CC56&gt;=Parameters!$B$58,3,IF(CC56&gt;=Parameters!$B$59,2,1)))),IF(CC56&gt;=Parameters!$B$60,6,IF(CC56&gt;=Parameters!$B$61,5,IF(CC56&gt;=Parameters!$B$62,4,IF(CC56&gt;=Parameters!$B$63,3,IF(CC56&gt;=Parameters!$B$64,2,1)))))))</f>
        <v>3</v>
      </c>
      <c r="CE56" s="10" t="n">
        <f aca="false">IF(AND(ISNUMBER(AR56),AR56&lt;Parameters!$B$66),1,0)</f>
        <v>0</v>
      </c>
      <c r="CF56" s="10" t="n">
        <f aca="false">IF(AND(LEFT(AH56,5)="Death",ISNUMBER(AG56)),IF(BF56="Early",IF(AND(AG56&lt;Parameters!$B$70,ISNUMBER(U56),U56&lt;Parameters!$B$71),1,0),IF(AND(AG56&lt;Parameters!$B$67,OR(AND(ISNUMBER(U56),U56&lt;Parameters!$B$68),AND(ISNUMBER(V56),V56&lt;Parameters!$B$69))),1,0)),0)</f>
        <v>0</v>
      </c>
      <c r="CG56" s="10" t="n">
        <f aca="false">IF(AND(ISNUMBER(AG56),AG56&lt;0),1,0)</f>
        <v>0</v>
      </c>
      <c r="CH56" s="10" t="n">
        <f aca="false">IF(OR(AND(ISNUMBER(U56),U56&gt;Parameters!$B$74),AND(ISNUMBER(AF56),AF56&gt;Parameters!$B$75),AND(ISNUMBER(AE56),AE56&gt;Parameters!$B$76)),1,0)</f>
        <v>0</v>
      </c>
      <c r="CI56" s="10" t="n">
        <f aca="false">IF(AND(ISNUMBER(BC56),BC56&gt;=0,BC56&lt;=Parameters!$B$77),1,0)</f>
        <v>0</v>
      </c>
      <c r="CJ56" s="17" t="n">
        <f aca="false">IF(CF56=1,1,MIN(CD56,IF(CE56=1,3,6),IF(CG56=1,IF(BF56="Early",Parameters!$B$73,Parameters!$B$72),6),IF(CH56=1,3,6),IF(CI56=1,3,6)))</f>
        <v>3</v>
      </c>
      <c r="CK56" s="10" t="str">
        <f aca="false">INDEX(Parameters!$F$2:$F$7,CJ56)</f>
        <v>Hold</v>
      </c>
      <c r="CL56" s="10" t="str">
        <f aca="false">IF(CF56=1,"Hard sell: breakdown; ","")&amp;IF(CE56=1,"Insufficient history; ","")&amp;IF(AND(CF56=0,CG56=1),"Below 200D; ","")&amp;IF(CH56=1,"Extended - wait for pullback; ","")&amp;IF(CI56=1,"Earnings within "&amp;Parameters!$B$77&amp;"d; ","")</f>
        <v/>
      </c>
    </row>
    <row r="57" customFormat="false" ht="15" hidden="false" customHeight="false" outlineLevel="0" collapsed="false">
      <c r="A57" s="10" t="s">
        <v>446</v>
      </c>
      <c r="B57" s="10" t="n">
        <v>5</v>
      </c>
      <c r="C57" s="10" t="n">
        <v>4</v>
      </c>
      <c r="D57" s="10" t="n">
        <v>35.1</v>
      </c>
      <c r="E57" s="10" t="n">
        <v>-1.5</v>
      </c>
      <c r="F57" s="10" t="n">
        <v>7</v>
      </c>
      <c r="G57" s="10" t="s">
        <v>447</v>
      </c>
      <c r="H57" s="10" t="s">
        <v>304</v>
      </c>
      <c r="I57" s="10" t="n">
        <v>101.17</v>
      </c>
      <c r="J57" s="10" t="s">
        <v>295</v>
      </c>
      <c r="K57" s="10" t="s">
        <v>305</v>
      </c>
      <c r="L57" s="15" t="n">
        <v>96136531762</v>
      </c>
      <c r="M57" s="16" t="n">
        <v>46233</v>
      </c>
      <c r="N57" s="10" t="n">
        <v>13.99</v>
      </c>
      <c r="O57" s="16" t="n">
        <v>46324</v>
      </c>
      <c r="P57" s="10" t="s">
        <v>297</v>
      </c>
      <c r="Q57" s="10" t="n">
        <v>-2.81</v>
      </c>
      <c r="R57" s="10" t="n">
        <v>-1.55</v>
      </c>
      <c r="S57" s="10" t="n">
        <v>-4.94</v>
      </c>
      <c r="T57" s="10" t="n">
        <v>-6.76</v>
      </c>
      <c r="U57" s="10" t="n">
        <v>-8.83</v>
      </c>
      <c r="V57" s="10" t="n">
        <v>6.47</v>
      </c>
      <c r="W57" s="10" t="n">
        <v>16.11</v>
      </c>
      <c r="X57" s="10" t="n">
        <v>-26.36</v>
      </c>
      <c r="Y57" s="10"/>
      <c r="Z57" s="10"/>
      <c r="AA57" s="10"/>
      <c r="AB57" s="10"/>
      <c r="AC57" s="10" t="n">
        <v>1.83</v>
      </c>
      <c r="AD57" s="10" t="n">
        <v>-33.48</v>
      </c>
      <c r="AE57" s="10" t="n">
        <v>40.43</v>
      </c>
      <c r="AF57" s="10" t="n">
        <v>-2.15</v>
      </c>
      <c r="AG57" s="10" t="n">
        <v>-4.11</v>
      </c>
      <c r="AH57" s="10" t="s">
        <v>377</v>
      </c>
      <c r="AI57" s="10" t="n">
        <v>-1.07</v>
      </c>
      <c r="AJ57" s="10" t="n">
        <v>-16.04</v>
      </c>
      <c r="AK57" s="10" t="n">
        <v>37.3</v>
      </c>
      <c r="AL57" s="10" t="n">
        <v>7.8</v>
      </c>
      <c r="AM57" s="10" t="n">
        <v>11.58</v>
      </c>
      <c r="AN57" s="10" t="n">
        <v>7.28</v>
      </c>
      <c r="AO57" s="10" t="n">
        <v>14.43</v>
      </c>
      <c r="AP57" s="10" t="n">
        <v>0.86</v>
      </c>
      <c r="AQ57" s="10" t="n">
        <v>1.81</v>
      </c>
      <c r="AR57" s="10" t="n">
        <v>300</v>
      </c>
      <c r="AS57" s="16" t="n">
        <v>46275</v>
      </c>
      <c r="AT57" s="15" t="n">
        <v>25833117696</v>
      </c>
      <c r="AU57" s="15" t="n">
        <v>14148137984</v>
      </c>
      <c r="AV57" s="10" t="n">
        <v>54.77</v>
      </c>
      <c r="AW57" s="15" t="n">
        <v>2990256128</v>
      </c>
      <c r="AX57" s="15" t="n">
        <v>2238390000</v>
      </c>
      <c r="AY57" s="10" t="n">
        <v>8.66</v>
      </c>
      <c r="AZ57" s="15" t="n">
        <v>-8607404032</v>
      </c>
      <c r="BA57" s="10" t="n">
        <v>22.38</v>
      </c>
      <c r="BB57" s="10" t="n">
        <v>26.65</v>
      </c>
      <c r="BC57" s="17" t="n">
        <f aca="false">IF(AND(ISNUMBER(O57),ISNUMBER(AS57)),O57-AS57,"")</f>
        <v>49</v>
      </c>
      <c r="BD57" s="10" t="n">
        <f aca="false">IF(OR(ISNUMBER(SEARCH("ETF",H57)),AND(F57="",AO57="")),1,0)</f>
        <v>0</v>
      </c>
      <c r="BE57" s="17" t="n">
        <f aca="false">IF(ISNUMBER(L57),IF(L57&gt;=Parameters!$B$3,2,IF(L57&gt;=Parameters!$B$4,1,0)),0)+IF(ISNUMBER(AW57),IF(AW57&gt;0,IF(AND(ISNUMBER(AM57),AM57&gt;=Parameters!$B$5),2,1),0),0)+IF(ISNUMBER(AX57),IF(AND(AX57&gt;0,ISNUMBER(AY57),AY57&gt;=Parameters!$B$6),1,0),0)+IF(ISNUMBER(AO57),IF(AND(AO57&gt;0,AO57&lt;=Parameters!$B$7),1,0),0)+IF(ISNUMBER(F57),IF(F57&gt;=Parameters!$B$8,1,0),0)</f>
        <v>6</v>
      </c>
      <c r="BF57" s="10" t="str">
        <f aca="false">IF(BD57=1,"ETF",IF(OR(AND(ISNUMBER(L57),L57&gt;=Parameters!$B$10),BE57&gt;=Parameters!$B$9),"Established","Early"))</f>
        <v>Established</v>
      </c>
      <c r="BG57" s="10" t="n">
        <f aca="false">IF(LEFT(AH57,6)="Golden",2,IF(LEFT(AH57,5)="Death",-2,0))</f>
        <v>-2</v>
      </c>
      <c r="BH57" s="10" t="n">
        <f aca="false">IF(ISNUMBER(AG57),IF(AG57&gt;Parameters!$B$12,2,IF(AG57&gt;0,1,IF(AG57&gt;=Parameters!$B$13,-1,-2))),0)</f>
        <v>-1</v>
      </c>
      <c r="BI57" s="10" t="n">
        <f aca="false">IF(ISNUMBER(AF57),IF(AND(AF57&gt;=Parameters!$B$14,AF57&lt;=Parameters!$B$15),1,IF(OR(AF57&gt;Parameters!$B$16,AF57&lt;Parameters!$B$17),-1,0)),0)</f>
        <v>1</v>
      </c>
      <c r="BJ57" s="10" t="n">
        <f aca="false">IF(ISNUMBER(AE57),IF(AND(AE57&gt;=Parameters!$B$18,AE57&lt;=Parameters!$B$19),1,IF(OR(AE57&gt;Parameters!$B$20,AE57&lt;Parameters!$B$21),-1,0)),0)</f>
        <v>0</v>
      </c>
      <c r="BK57" s="10" t="n">
        <f aca="false">IF(ISNUMBER(E57),IF(E57&gt;Parameters!$B$22,1,IF(E57&lt;Parameters!$B$23,-1,0)),0)</f>
        <v>0</v>
      </c>
      <c r="BL57" s="10" t="n">
        <f aca="false">IF(ISNUMBER(C57),IF(C57&gt;=Parameters!$B$24,1,IF(C57&lt;=Parameters!$B$25,-1,0)),0)</f>
        <v>0</v>
      </c>
      <c r="BM57" s="10" t="n">
        <f aca="false">IF(ISNUMBER(AJ57),IF(AND(AJ57&gt;Parameters!$B$26,ISNUMBER(U57)),IF(U57&lt;0,-1,1),0),0)</f>
        <v>0</v>
      </c>
      <c r="BN57" s="10" t="n">
        <f aca="false">IF(ISNUMBER(AD57),IF(AD57&gt;Parameters!$B$27,1,IF(AD57&lt;Parameters!$B$28,-1,0)),0)</f>
        <v>-1</v>
      </c>
      <c r="BO57" s="17" t="n">
        <f aca="false">BG57+BH57+BI57+BJ57+BK57+BL57+BM57+BN57</f>
        <v>-3</v>
      </c>
      <c r="BP57" s="10" t="n">
        <f aca="false">IF(ISNUMBER(F57),IF(F57&gt;=Parameters!$B$30,2,IF(F57&gt;=Parameters!$B$31,1,IF(F57&lt;=Parameters!$B$32,-1,0))),0)</f>
        <v>1</v>
      </c>
      <c r="BQ57" s="10" t="n">
        <f aca="false">IF(ISNUMBER(AK57),IF(AK57&gt;Parameters!$B$33,1,IF(AK57&lt;0,-1,0)),0)</f>
        <v>1</v>
      </c>
      <c r="BR57" s="10" t="n">
        <f aca="false">IF(ISNUMBER(AL57),IF(AL57&gt;Parameters!$B$34,1,IF(AL57&lt;0,-1,0)),0)</f>
        <v>0</v>
      </c>
      <c r="BS57" s="10" t="n">
        <f aca="false">IF(ISNUMBER(AP57),IF(AND(AP57&gt;0,AP57&lt;=Parameters!$B$35),1,IF(AP57&gt;Parameters!$B$36,-1,0)),0)</f>
        <v>1</v>
      </c>
      <c r="BT57" s="10" t="n">
        <f aca="false">IF(ISNUMBER(AY57),IF(AY57&gt;Parameters!$B$37,1,IF(AY57&lt;0,-1,0)),0)</f>
        <v>0</v>
      </c>
      <c r="BU57" s="10" t="n">
        <f aca="false">IF(ISNUMBER(AZ57),IF(AZ57&gt;0,1,0),0)</f>
        <v>0</v>
      </c>
      <c r="BV57" s="10" t="n">
        <f aca="false">IF(ISNUMBER(AL57),IF(AL57&gt;Parameters!$B$39,2,IF(AL57&gt;Parameters!$B$40,1,IF(AL57&lt;0,-2,IF(AL57&lt;Parameters!$B$41,-1,0)))),0)</f>
        <v>0</v>
      </c>
      <c r="BW57" s="10" t="n">
        <f aca="false">IF(ISNUMBER(AV57),IF(AV57&gt;Parameters!$B$42,1,IF(AV57&lt;Parameters!$B$43,-1,0)),0)</f>
        <v>1</v>
      </c>
      <c r="BX57" s="10" t="n">
        <f aca="false">IF(AND(ISNUMBER(AX57),AX57&gt;0),1,IF(AND(ISNUMBER(AY57),AY57&lt;Parameters!$B$44),-1,0))</f>
        <v>1</v>
      </c>
      <c r="BY57" s="10" t="n">
        <f aca="false">IF(ISNUMBER(AW57),IF(AW57&gt;0,1,0),0)</f>
        <v>1</v>
      </c>
      <c r="BZ57" s="10" t="n">
        <f aca="false">IF(ISNUMBER(AQ57),IF(AQ57&gt;Parameters!$B$46,-2,IF(AQ57&gt;Parameters!$B$45,-1,0)),0)</f>
        <v>0</v>
      </c>
      <c r="CA57" s="10" t="n">
        <f aca="false">IF(ISNUMBER(F57),IF(F57&gt;=Parameters!$B$47,1,IF(F57&lt;=Parameters!$B$48,-1,0)),0)</f>
        <v>1</v>
      </c>
      <c r="CB57" s="17" t="n">
        <f aca="false">IF(BF57="Established",BP57+BQ57+BR57+BS57+BT57+BU57,IF(BF57="Early",BV57+BW57+BX57+BY57+BZ57+CA57,0))</f>
        <v>3</v>
      </c>
      <c r="CC57" s="18" t="n">
        <f aca="false">IF(BF57="Established",BO57+CB57,IF(BF57="Early",BO57+Parameters!$B$50*CB57,BO57))</f>
        <v>0</v>
      </c>
      <c r="CD57" s="17" t="n">
        <f aca="false">IF(BF57="Established",IF(CC57&gt;=Parameters!$B$51,6,IF(CC57&gt;=Parameters!$B$52,5,IF(CC57&gt;=Parameters!$B$53,4,IF(CC57&gt;=Parameters!$B$54,3,IF(CC57&gt;=Parameters!$B$55,2,1))))),IF(BF57="Early",IF(CC57&gt;=Parameters!$B$56,5,IF(CC57&gt;=Parameters!$B$57,4,IF(CC57&gt;=Parameters!$B$58,3,IF(CC57&gt;=Parameters!$B$59,2,1)))),IF(CC57&gt;=Parameters!$B$60,6,IF(CC57&gt;=Parameters!$B$61,5,IF(CC57&gt;=Parameters!$B$62,4,IF(CC57&gt;=Parameters!$B$63,3,IF(CC57&gt;=Parameters!$B$64,2,1)))))))</f>
        <v>3</v>
      </c>
      <c r="CE57" s="10" t="n">
        <f aca="false">IF(AND(ISNUMBER(AR57),AR57&lt;Parameters!$B$66),1,0)</f>
        <v>0</v>
      </c>
      <c r="CF57" s="10" t="n">
        <f aca="false">IF(AND(LEFT(AH57,5)="Death",ISNUMBER(AG57)),IF(BF57="Early",IF(AND(AG57&lt;Parameters!$B$70,ISNUMBER(U57),U57&lt;Parameters!$B$71),1,0),IF(AND(AG57&lt;Parameters!$B$67,OR(AND(ISNUMBER(U57),U57&lt;Parameters!$B$68),AND(ISNUMBER(V57),V57&lt;Parameters!$B$69))),1,0)),0)</f>
        <v>0</v>
      </c>
      <c r="CG57" s="10" t="n">
        <f aca="false">IF(AND(ISNUMBER(AG57),AG57&lt;0),1,0)</f>
        <v>1</v>
      </c>
      <c r="CH57" s="10" t="n">
        <f aca="false">IF(OR(AND(ISNUMBER(U57),U57&gt;Parameters!$B$74),AND(ISNUMBER(AF57),AF57&gt;Parameters!$B$75),AND(ISNUMBER(AE57),AE57&gt;Parameters!$B$76)),1,0)</f>
        <v>0</v>
      </c>
      <c r="CI57" s="10" t="n">
        <f aca="false">IF(AND(ISNUMBER(BC57),BC57&gt;=0,BC57&lt;=Parameters!$B$77),1,0)</f>
        <v>0</v>
      </c>
      <c r="CJ57" s="17" t="n">
        <f aca="false">IF(CF57=1,1,MIN(CD57,IF(CE57=1,3,6),IF(CG57=1,IF(BF57="Early",Parameters!$B$73,Parameters!$B$72),6),IF(CH57=1,3,6),IF(CI57=1,3,6)))</f>
        <v>3</v>
      </c>
      <c r="CK57" s="10" t="str">
        <f aca="false">INDEX(Parameters!$F$2:$F$7,CJ57)</f>
        <v>Hold</v>
      </c>
      <c r="CL57" s="10" t="str">
        <f aca="false">IF(CF57=1,"Hard sell: breakdown; ","")&amp;IF(CE57=1,"Insufficient history; ","")&amp;IF(AND(CF57=0,CG57=1),"Below 200D; ","")&amp;IF(CH57=1,"Extended - wait for pullback; ","")&amp;IF(CI57=1,"Earnings within "&amp;Parameters!$B$77&amp;"d; ","")</f>
        <v>Below 200D; </v>
      </c>
    </row>
    <row r="58" customFormat="false" ht="15" hidden="false" customHeight="false" outlineLevel="0" collapsed="false">
      <c r="A58" s="10" t="s">
        <v>448</v>
      </c>
      <c r="B58" s="10" t="n">
        <v>5</v>
      </c>
      <c r="C58" s="10" t="n">
        <v>2</v>
      </c>
      <c r="D58" s="10" t="n">
        <v>18.9</v>
      </c>
      <c r="E58" s="10" t="n">
        <v>-3.7</v>
      </c>
      <c r="F58" s="10" t="n">
        <v>10</v>
      </c>
      <c r="G58" s="10" t="s">
        <v>449</v>
      </c>
      <c r="H58" s="10" t="s">
        <v>314</v>
      </c>
      <c r="I58" s="10" t="n">
        <v>315.54</v>
      </c>
      <c r="J58" s="10" t="s">
        <v>295</v>
      </c>
      <c r="K58" s="10" t="s">
        <v>399</v>
      </c>
      <c r="L58" s="15" t="n">
        <v>102481709604</v>
      </c>
      <c r="M58" s="16" t="n">
        <v>46239</v>
      </c>
      <c r="N58" s="10" t="n">
        <v>0.53</v>
      </c>
      <c r="O58" s="16" t="n">
        <v>46330</v>
      </c>
      <c r="P58" s="10" t="s">
        <v>297</v>
      </c>
      <c r="Q58" s="10" t="n">
        <v>3.44</v>
      </c>
      <c r="R58" s="10" t="n">
        <v>-2.23</v>
      </c>
      <c r="S58" s="10" t="n">
        <v>-1.1</v>
      </c>
      <c r="T58" s="10" t="n">
        <v>2.41</v>
      </c>
      <c r="U58" s="10" t="n">
        <v>-0.99</v>
      </c>
      <c r="V58" s="10" t="n">
        <v>-35.99</v>
      </c>
      <c r="W58" s="10" t="n">
        <v>-31.62</v>
      </c>
      <c r="X58" s="10" t="n">
        <v>-43.47</v>
      </c>
      <c r="Y58" s="10"/>
      <c r="Z58" s="10"/>
      <c r="AA58" s="10"/>
      <c r="AB58" s="10"/>
      <c r="AC58" s="10" t="n">
        <v>-40.63</v>
      </c>
      <c r="AD58" s="10" t="n">
        <v>-57.68</v>
      </c>
      <c r="AE58" s="10" t="n">
        <v>41.97</v>
      </c>
      <c r="AF58" s="10" t="n">
        <v>-17.49</v>
      </c>
      <c r="AG58" s="10" t="n">
        <v>-34.65</v>
      </c>
      <c r="AH58" s="10" t="s">
        <v>377</v>
      </c>
      <c r="AI58" s="10" t="n">
        <v>5.39</v>
      </c>
      <c r="AJ58" s="10" t="n">
        <v>-28.08</v>
      </c>
      <c r="AK58" s="10" t="n">
        <v>54.5</v>
      </c>
      <c r="AL58" s="10" t="n">
        <v>52.8</v>
      </c>
      <c r="AM58" s="10" t="n">
        <v>64.57</v>
      </c>
      <c r="AN58" s="10" t="n">
        <v>203.69</v>
      </c>
      <c r="AO58" s="10" t="n">
        <v>14.87</v>
      </c>
      <c r="AP58" s="10" t="n">
        <v>0.43</v>
      </c>
      <c r="AQ58" s="10" t="n">
        <v>4.49</v>
      </c>
      <c r="AR58" s="10" t="n">
        <v>300</v>
      </c>
      <c r="AS58" s="16" t="n">
        <v>46275</v>
      </c>
      <c r="AT58" s="15" t="n">
        <v>6829124096</v>
      </c>
      <c r="AU58" s="15" t="n">
        <v>6041307136</v>
      </c>
      <c r="AV58" s="10" t="n">
        <v>88.46</v>
      </c>
      <c r="AW58" s="15" t="n">
        <v>4409847808</v>
      </c>
      <c r="AX58" s="15" t="n">
        <v>3179956224</v>
      </c>
      <c r="AY58" s="10" t="n">
        <v>46.56</v>
      </c>
      <c r="AZ58" s="15" t="n">
        <v>-461765888</v>
      </c>
      <c r="BA58" s="10" t="n">
        <v>6.06</v>
      </c>
      <c r="BB58" s="10" t="n">
        <v>4.03</v>
      </c>
      <c r="BC58" s="17" t="n">
        <f aca="false">IF(AND(ISNUMBER(O58),ISNUMBER(AS58)),O58-AS58,"")</f>
        <v>55</v>
      </c>
      <c r="BD58" s="10" t="n">
        <f aca="false">IF(OR(ISNUMBER(SEARCH("ETF",H58)),AND(F58="",AO58="")),1,0)</f>
        <v>0</v>
      </c>
      <c r="BE58" s="17" t="n">
        <f aca="false">IF(ISNUMBER(L58),IF(L58&gt;=Parameters!$B$3,2,IF(L58&gt;=Parameters!$B$4,1,0)),0)+IF(ISNUMBER(AW58),IF(AW58&gt;0,IF(AND(ISNUMBER(AM58),AM58&gt;=Parameters!$B$5),2,1),0),0)+IF(ISNUMBER(AX58),IF(AND(AX58&gt;0,ISNUMBER(AY58),AY58&gt;=Parameters!$B$6),1,0),0)+IF(ISNUMBER(AO58),IF(AND(AO58&gt;0,AO58&lt;=Parameters!$B$7),1,0),0)+IF(ISNUMBER(F58),IF(F58&gt;=Parameters!$B$8,1,0),0)</f>
        <v>7</v>
      </c>
      <c r="BF58" s="10" t="str">
        <f aca="false">IF(BD58=1,"ETF",IF(OR(AND(ISNUMBER(L58),L58&gt;=Parameters!$B$10),BE58&gt;=Parameters!$B$9),"Established","Early"))</f>
        <v>Established</v>
      </c>
      <c r="BG58" s="10" t="n">
        <f aca="false">IF(LEFT(AH58,6)="Golden",2,IF(LEFT(AH58,5)="Death",-2,0))</f>
        <v>-2</v>
      </c>
      <c r="BH58" s="10" t="n">
        <f aca="false">IF(ISNUMBER(AG58),IF(AG58&gt;Parameters!$B$12,2,IF(AG58&gt;0,1,IF(AG58&gt;=Parameters!$B$13,-1,-2))),0)</f>
        <v>-2</v>
      </c>
      <c r="BI58" s="10" t="n">
        <f aca="false">IF(ISNUMBER(AF58),IF(AND(AF58&gt;=Parameters!$B$14,AF58&lt;=Parameters!$B$15),1,IF(OR(AF58&gt;Parameters!$B$16,AF58&lt;Parameters!$B$17),-1,0)),0)</f>
        <v>-1</v>
      </c>
      <c r="BJ58" s="10" t="n">
        <f aca="false">IF(ISNUMBER(AE58),IF(AND(AE58&gt;=Parameters!$B$18,AE58&lt;=Parameters!$B$19),1,IF(OR(AE58&gt;Parameters!$B$20,AE58&lt;Parameters!$B$21),-1,0)),0)</f>
        <v>0</v>
      </c>
      <c r="BK58" s="10" t="n">
        <f aca="false">IF(ISNUMBER(E58),IF(E58&gt;Parameters!$B$22,1,IF(E58&lt;Parameters!$B$23,-1,0)),0)</f>
        <v>0</v>
      </c>
      <c r="BL58" s="10" t="n">
        <f aca="false">IF(ISNUMBER(C58),IF(C58&gt;=Parameters!$B$24,1,IF(C58&lt;=Parameters!$B$25,-1,0)),0)</f>
        <v>-1</v>
      </c>
      <c r="BM58" s="10" t="n">
        <f aca="false">IF(ISNUMBER(AJ58),IF(AND(AJ58&gt;Parameters!$B$26,ISNUMBER(U58)),IF(U58&lt;0,-1,1),0),0)</f>
        <v>0</v>
      </c>
      <c r="BN58" s="10" t="n">
        <f aca="false">IF(ISNUMBER(AD58),IF(AD58&gt;Parameters!$B$27,1,IF(AD58&lt;Parameters!$B$28,-1,0)),0)</f>
        <v>-1</v>
      </c>
      <c r="BO58" s="17" t="n">
        <f aca="false">BG58+BH58+BI58+BJ58+BK58+BL58+BM58+BN58</f>
        <v>-7</v>
      </c>
      <c r="BP58" s="10" t="n">
        <f aca="false">IF(ISNUMBER(F58),IF(F58&gt;=Parameters!$B$30,2,IF(F58&gt;=Parameters!$B$31,1,IF(F58&lt;=Parameters!$B$32,-1,0))),0)</f>
        <v>2</v>
      </c>
      <c r="BQ58" s="10" t="n">
        <f aca="false">IF(ISNUMBER(AK58),IF(AK58&gt;Parameters!$B$33,1,IF(AK58&lt;0,-1,0)),0)</f>
        <v>1</v>
      </c>
      <c r="BR58" s="10" t="n">
        <f aca="false">IF(ISNUMBER(AL58),IF(AL58&gt;Parameters!$B$34,1,IF(AL58&lt;0,-1,0)),0)</f>
        <v>1</v>
      </c>
      <c r="BS58" s="10" t="n">
        <f aca="false">IF(ISNUMBER(AP58),IF(AND(AP58&gt;0,AP58&lt;=Parameters!$B$35),1,IF(AP58&gt;Parameters!$B$36,-1,0)),0)</f>
        <v>1</v>
      </c>
      <c r="BT58" s="10" t="n">
        <f aca="false">IF(ISNUMBER(AY58),IF(AY58&gt;Parameters!$B$37,1,IF(AY58&lt;0,-1,0)),0)</f>
        <v>1</v>
      </c>
      <c r="BU58" s="10" t="n">
        <f aca="false">IF(ISNUMBER(AZ58),IF(AZ58&gt;0,1,0),0)</f>
        <v>0</v>
      </c>
      <c r="BV58" s="10" t="n">
        <f aca="false">IF(ISNUMBER(AL58),IF(AL58&gt;Parameters!$B$39,2,IF(AL58&gt;Parameters!$B$40,1,IF(AL58&lt;0,-2,IF(AL58&lt;Parameters!$B$41,-1,0)))),0)</f>
        <v>2</v>
      </c>
      <c r="BW58" s="10" t="n">
        <f aca="false">IF(ISNUMBER(AV58),IF(AV58&gt;Parameters!$B$42,1,IF(AV58&lt;Parameters!$B$43,-1,0)),0)</f>
        <v>1</v>
      </c>
      <c r="BX58" s="10" t="n">
        <f aca="false">IF(AND(ISNUMBER(AX58),AX58&gt;0),1,IF(AND(ISNUMBER(AY58),AY58&lt;Parameters!$B$44),-1,0))</f>
        <v>1</v>
      </c>
      <c r="BY58" s="10" t="n">
        <f aca="false">IF(ISNUMBER(AW58),IF(AW58&gt;0,1,0),0)</f>
        <v>1</v>
      </c>
      <c r="BZ58" s="10" t="n">
        <f aca="false">IF(ISNUMBER(AQ58),IF(AQ58&gt;Parameters!$B$46,-2,IF(AQ58&gt;Parameters!$B$45,-1,0)),0)</f>
        <v>0</v>
      </c>
      <c r="CA58" s="10" t="n">
        <f aca="false">IF(ISNUMBER(F58),IF(F58&gt;=Parameters!$B$47,1,IF(F58&lt;=Parameters!$B$48,-1,0)),0)</f>
        <v>1</v>
      </c>
      <c r="CB58" s="17" t="n">
        <f aca="false">IF(BF58="Established",BP58+BQ58+BR58+BS58+BT58+BU58,IF(BF58="Early",BV58+BW58+BX58+BY58+BZ58+CA58,0))</f>
        <v>6</v>
      </c>
      <c r="CC58" s="18" t="n">
        <f aca="false">IF(BF58="Established",BO58+CB58,IF(BF58="Early",BO58+Parameters!$B$50*CB58,BO58))</f>
        <v>-1</v>
      </c>
      <c r="CD58" s="17" t="n">
        <f aca="false">IF(BF58="Established",IF(CC58&gt;=Parameters!$B$51,6,IF(CC58&gt;=Parameters!$B$52,5,IF(CC58&gt;=Parameters!$B$53,4,IF(CC58&gt;=Parameters!$B$54,3,IF(CC58&gt;=Parameters!$B$55,2,1))))),IF(BF58="Early",IF(CC58&gt;=Parameters!$B$56,5,IF(CC58&gt;=Parameters!$B$57,4,IF(CC58&gt;=Parameters!$B$58,3,IF(CC58&gt;=Parameters!$B$59,2,1)))),IF(CC58&gt;=Parameters!$B$60,6,IF(CC58&gt;=Parameters!$B$61,5,IF(CC58&gt;=Parameters!$B$62,4,IF(CC58&gt;=Parameters!$B$63,3,IF(CC58&gt;=Parameters!$B$64,2,1)))))))</f>
        <v>2</v>
      </c>
      <c r="CE58" s="10" t="n">
        <f aca="false">IF(AND(ISNUMBER(AR58),AR58&lt;Parameters!$B$66),1,0)</f>
        <v>0</v>
      </c>
      <c r="CF58" s="10" t="n">
        <f aca="false">IF(AND(LEFT(AH58,5)="Death",ISNUMBER(AG58)),IF(BF58="Early",IF(AND(AG58&lt;Parameters!$B$70,ISNUMBER(U58),U58&lt;Parameters!$B$71),1,0),IF(AND(AG58&lt;Parameters!$B$67,OR(AND(ISNUMBER(U58),U58&lt;Parameters!$B$68),AND(ISNUMBER(V58),V58&lt;Parameters!$B$69))),1,0)),0)</f>
        <v>1</v>
      </c>
      <c r="CG58" s="10" t="n">
        <f aca="false">IF(AND(ISNUMBER(AG58),AG58&lt;0),1,0)</f>
        <v>1</v>
      </c>
      <c r="CH58" s="10" t="n">
        <f aca="false">IF(OR(AND(ISNUMBER(U58),U58&gt;Parameters!$B$74),AND(ISNUMBER(AF58),AF58&gt;Parameters!$B$75),AND(ISNUMBER(AE58),AE58&gt;Parameters!$B$76)),1,0)</f>
        <v>0</v>
      </c>
      <c r="CI58" s="10" t="n">
        <f aca="false">IF(AND(ISNUMBER(BC58),BC58&gt;=0,BC58&lt;=Parameters!$B$77),1,0)</f>
        <v>0</v>
      </c>
      <c r="CJ58" s="17" t="n">
        <f aca="false">IF(CF58=1,1,MIN(CD58,IF(CE58=1,3,6),IF(CG58=1,IF(BF58="Early",Parameters!$B$73,Parameters!$B$72),6),IF(CH58=1,3,6),IF(CI58=1,3,6)))</f>
        <v>1</v>
      </c>
      <c r="CK58" s="10" t="str">
        <f aca="false">INDEX(Parameters!$F$2:$F$7,CJ58)</f>
        <v>Sell Immediately</v>
      </c>
      <c r="CL58" s="10" t="str">
        <f aca="false">IF(CF58=1,"Hard sell: breakdown; ","")&amp;IF(CE58=1,"Insufficient history; ","")&amp;IF(AND(CF58=0,CG58=1),"Below 200D; ","")&amp;IF(CH58=1,"Extended - wait for pullback; ","")&amp;IF(CI58=1,"Earnings within "&amp;Parameters!$B$77&amp;"d; ","")</f>
        <v>Hard sell: breakdown; </v>
      </c>
    </row>
    <row r="59" customFormat="false" ht="15" hidden="false" customHeight="false" outlineLevel="0" collapsed="false">
      <c r="A59" s="10" t="s">
        <v>450</v>
      </c>
      <c r="B59" s="10" t="n">
        <v>5</v>
      </c>
      <c r="C59" s="10" t="n">
        <v>3</v>
      </c>
      <c r="D59" s="10" t="n">
        <v>23.9</v>
      </c>
      <c r="E59" s="10" t="n">
        <v>0.6</v>
      </c>
      <c r="F59" s="10" t="n">
        <v>8</v>
      </c>
      <c r="G59" s="10" t="s">
        <v>451</v>
      </c>
      <c r="H59" s="10" t="s">
        <v>304</v>
      </c>
      <c r="I59" s="10" t="n">
        <v>17.33</v>
      </c>
      <c r="J59" s="10" t="s">
        <v>295</v>
      </c>
      <c r="K59" s="10" t="s">
        <v>305</v>
      </c>
      <c r="L59" s="15" t="n">
        <v>22382913714</v>
      </c>
      <c r="M59" s="16" t="n">
        <v>46232</v>
      </c>
      <c r="N59" s="10" t="n">
        <v>9.09</v>
      </c>
      <c r="O59" s="16" t="n">
        <v>46323</v>
      </c>
      <c r="P59" s="10" t="s">
        <v>297</v>
      </c>
      <c r="Q59" s="10" t="n">
        <v>-0.03</v>
      </c>
      <c r="R59" s="10" t="n">
        <v>-3.78</v>
      </c>
      <c r="S59" s="10" t="n">
        <v>-2.89</v>
      </c>
      <c r="T59" s="10" t="n">
        <v>-8.04</v>
      </c>
      <c r="U59" s="10" t="n">
        <v>-3.64</v>
      </c>
      <c r="V59" s="10" t="n">
        <v>9.17</v>
      </c>
      <c r="W59" s="10" t="n">
        <v>-6.5</v>
      </c>
      <c r="X59" s="10" t="n">
        <v>-33.29</v>
      </c>
      <c r="Y59" s="10"/>
      <c r="Z59" s="10"/>
      <c r="AA59" s="10"/>
      <c r="AB59" s="10"/>
      <c r="AC59" s="10" t="n">
        <v>4.53</v>
      </c>
      <c r="AD59" s="10" t="n">
        <v>-47.07</v>
      </c>
      <c r="AE59" s="10" t="n">
        <v>45.06</v>
      </c>
      <c r="AF59" s="10" t="n">
        <v>-2.97</v>
      </c>
      <c r="AG59" s="10" t="n">
        <v>-12.69</v>
      </c>
      <c r="AH59" s="10" t="s">
        <v>377</v>
      </c>
      <c r="AI59" s="10" t="n">
        <v>-0.13</v>
      </c>
      <c r="AJ59" s="10" t="n">
        <v>-28.78</v>
      </c>
      <c r="AK59" s="10" t="n">
        <v>61</v>
      </c>
      <c r="AL59" s="10" t="n">
        <v>42.6</v>
      </c>
      <c r="AM59" s="10" t="n">
        <v>14.91</v>
      </c>
      <c r="AN59" s="10" t="n">
        <v>7.1</v>
      </c>
      <c r="AO59" s="10" t="n">
        <v>22.16</v>
      </c>
      <c r="AP59" s="10" t="n">
        <v>1.12</v>
      </c>
      <c r="AQ59" s="10" t="n">
        <v>13.56</v>
      </c>
      <c r="AR59" s="10" t="n">
        <v>300</v>
      </c>
      <c r="AS59" s="16" t="n">
        <v>46275</v>
      </c>
      <c r="AT59" s="15" t="n">
        <v>4268439040</v>
      </c>
      <c r="AU59" s="15" t="n">
        <v>3574136064</v>
      </c>
      <c r="AV59" s="10" t="n">
        <v>83.73</v>
      </c>
      <c r="AW59" s="15" t="n">
        <v>636264000</v>
      </c>
      <c r="AX59" s="15" t="n">
        <v>481320000</v>
      </c>
      <c r="AY59" s="10" t="n">
        <v>11.28</v>
      </c>
      <c r="AZ59" s="15" t="n">
        <v>-48876032</v>
      </c>
      <c r="BA59" s="10" t="n">
        <v>16.43</v>
      </c>
      <c r="BB59" s="10" t="n">
        <v>13.7</v>
      </c>
      <c r="BC59" s="17" t="n">
        <f aca="false">IF(AND(ISNUMBER(O59),ISNUMBER(AS59)),O59-AS59,"")</f>
        <v>48</v>
      </c>
      <c r="BD59" s="10" t="n">
        <f aca="false">IF(OR(ISNUMBER(SEARCH("ETF",H59)),AND(F59="",AO59="")),1,0)</f>
        <v>0</v>
      </c>
      <c r="BE59" s="17" t="n">
        <f aca="false">IF(ISNUMBER(L59),IF(L59&gt;=Parameters!$B$3,2,IF(L59&gt;=Parameters!$B$4,1,0)),0)+IF(ISNUMBER(AW59),IF(AW59&gt;0,IF(AND(ISNUMBER(AM59),AM59&gt;=Parameters!$B$5),2,1),0),0)+IF(ISNUMBER(AX59),IF(AND(AX59&gt;0,ISNUMBER(AY59),AY59&gt;=Parameters!$B$6),1,0),0)+IF(ISNUMBER(AO59),IF(AND(AO59&gt;0,AO59&lt;=Parameters!$B$7),1,0),0)+IF(ISNUMBER(F59),IF(F59&gt;=Parameters!$B$8,1,0),0)</f>
        <v>6</v>
      </c>
      <c r="BF59" s="10" t="str">
        <f aca="false">IF(BD59=1,"ETF",IF(OR(AND(ISNUMBER(L59),L59&gt;=Parameters!$B$10),BE59&gt;=Parameters!$B$9),"Established","Early"))</f>
        <v>Established</v>
      </c>
      <c r="BG59" s="10" t="n">
        <f aca="false">IF(LEFT(AH59,6)="Golden",2,IF(LEFT(AH59,5)="Death",-2,0))</f>
        <v>-2</v>
      </c>
      <c r="BH59" s="10" t="n">
        <f aca="false">IF(ISNUMBER(AG59),IF(AG59&gt;Parameters!$B$12,2,IF(AG59&gt;0,1,IF(AG59&gt;=Parameters!$B$13,-1,-2))),0)</f>
        <v>-2</v>
      </c>
      <c r="BI59" s="10" t="n">
        <f aca="false">IF(ISNUMBER(AF59),IF(AND(AF59&gt;=Parameters!$B$14,AF59&lt;=Parameters!$B$15),1,IF(OR(AF59&gt;Parameters!$B$16,AF59&lt;Parameters!$B$17),-1,0)),0)</f>
        <v>1</v>
      </c>
      <c r="BJ59" s="10" t="n">
        <f aca="false">IF(ISNUMBER(AE59),IF(AND(AE59&gt;=Parameters!$B$18,AE59&lt;=Parameters!$B$19),1,IF(OR(AE59&gt;Parameters!$B$20,AE59&lt;Parameters!$B$21),-1,0)),0)</f>
        <v>1</v>
      </c>
      <c r="BK59" s="10" t="n">
        <f aca="false">IF(ISNUMBER(E59),IF(E59&gt;Parameters!$B$22,1,IF(E59&lt;Parameters!$B$23,-1,0)),0)</f>
        <v>0</v>
      </c>
      <c r="BL59" s="10" t="n">
        <f aca="false">IF(ISNUMBER(C59),IF(C59&gt;=Parameters!$B$24,1,IF(C59&lt;=Parameters!$B$25,-1,0)),0)</f>
        <v>-1</v>
      </c>
      <c r="BM59" s="10" t="n">
        <f aca="false">IF(ISNUMBER(AJ59),IF(AND(AJ59&gt;Parameters!$B$26,ISNUMBER(U59)),IF(U59&lt;0,-1,1),0),0)</f>
        <v>0</v>
      </c>
      <c r="BN59" s="10" t="n">
        <f aca="false">IF(ISNUMBER(AD59),IF(AD59&gt;Parameters!$B$27,1,IF(AD59&lt;Parameters!$B$28,-1,0)),0)</f>
        <v>-1</v>
      </c>
      <c r="BO59" s="17" t="n">
        <f aca="false">BG59+BH59+BI59+BJ59+BK59+BL59+BM59+BN59</f>
        <v>-4</v>
      </c>
      <c r="BP59" s="10" t="n">
        <f aca="false">IF(ISNUMBER(F59),IF(F59&gt;=Parameters!$B$30,2,IF(F59&gt;=Parameters!$B$31,1,IF(F59&lt;=Parameters!$B$32,-1,0))),0)</f>
        <v>2</v>
      </c>
      <c r="BQ59" s="10" t="n">
        <f aca="false">IF(ISNUMBER(AK59),IF(AK59&gt;Parameters!$B$33,1,IF(AK59&lt;0,-1,0)),0)</f>
        <v>1</v>
      </c>
      <c r="BR59" s="10" t="n">
        <f aca="false">IF(ISNUMBER(AL59),IF(AL59&gt;Parameters!$B$34,1,IF(AL59&lt;0,-1,0)),0)</f>
        <v>1</v>
      </c>
      <c r="BS59" s="10" t="n">
        <f aca="false">IF(ISNUMBER(AP59),IF(AND(AP59&gt;0,AP59&lt;=Parameters!$B$35),1,IF(AP59&gt;Parameters!$B$36,-1,0)),0)</f>
        <v>1</v>
      </c>
      <c r="BT59" s="10" t="n">
        <f aca="false">IF(ISNUMBER(AY59),IF(AY59&gt;Parameters!$B$37,1,IF(AY59&lt;0,-1,0)),0)</f>
        <v>1</v>
      </c>
      <c r="BU59" s="10" t="n">
        <f aca="false">IF(ISNUMBER(AZ59),IF(AZ59&gt;0,1,0),0)</f>
        <v>0</v>
      </c>
      <c r="BV59" s="10" t="n">
        <f aca="false">IF(ISNUMBER(AL59),IF(AL59&gt;Parameters!$B$39,2,IF(AL59&gt;Parameters!$B$40,1,IF(AL59&lt;0,-2,IF(AL59&lt;Parameters!$B$41,-1,0)))),0)</f>
        <v>2</v>
      </c>
      <c r="BW59" s="10" t="n">
        <f aca="false">IF(ISNUMBER(AV59),IF(AV59&gt;Parameters!$B$42,1,IF(AV59&lt;Parameters!$B$43,-1,0)),0)</f>
        <v>1</v>
      </c>
      <c r="BX59" s="10" t="n">
        <f aca="false">IF(AND(ISNUMBER(AX59),AX59&gt;0),1,IF(AND(ISNUMBER(AY59),AY59&lt;Parameters!$B$44),-1,0))</f>
        <v>1</v>
      </c>
      <c r="BY59" s="10" t="n">
        <f aca="false">IF(ISNUMBER(AW59),IF(AW59&gt;0,1,0),0)</f>
        <v>1</v>
      </c>
      <c r="BZ59" s="10" t="n">
        <f aca="false">IF(ISNUMBER(AQ59),IF(AQ59&gt;Parameters!$B$46,-2,IF(AQ59&gt;Parameters!$B$45,-1,0)),0)</f>
        <v>0</v>
      </c>
      <c r="CA59" s="10" t="n">
        <f aca="false">IF(ISNUMBER(F59),IF(F59&gt;=Parameters!$B$47,1,IF(F59&lt;=Parameters!$B$48,-1,0)),0)</f>
        <v>1</v>
      </c>
      <c r="CB59" s="17" t="n">
        <f aca="false">IF(BF59="Established",BP59+BQ59+BR59+BS59+BT59+BU59,IF(BF59="Early",BV59+BW59+BX59+BY59+BZ59+CA59,0))</f>
        <v>6</v>
      </c>
      <c r="CC59" s="18" t="n">
        <f aca="false">IF(BF59="Established",BO59+CB59,IF(BF59="Early",BO59+Parameters!$B$50*CB59,BO59))</f>
        <v>2</v>
      </c>
      <c r="CD59" s="17" t="n">
        <f aca="false">IF(BF59="Established",IF(CC59&gt;=Parameters!$B$51,6,IF(CC59&gt;=Parameters!$B$52,5,IF(CC59&gt;=Parameters!$B$53,4,IF(CC59&gt;=Parameters!$B$54,3,IF(CC59&gt;=Parameters!$B$55,2,1))))),IF(BF59="Early",IF(CC59&gt;=Parameters!$B$56,5,IF(CC59&gt;=Parameters!$B$57,4,IF(CC59&gt;=Parameters!$B$58,3,IF(CC59&gt;=Parameters!$B$59,2,1)))),IF(CC59&gt;=Parameters!$B$60,6,IF(CC59&gt;=Parameters!$B$61,5,IF(CC59&gt;=Parameters!$B$62,4,IF(CC59&gt;=Parameters!$B$63,3,IF(CC59&gt;=Parameters!$B$64,2,1)))))))</f>
        <v>3</v>
      </c>
      <c r="CE59" s="10" t="n">
        <f aca="false">IF(AND(ISNUMBER(AR59),AR59&lt;Parameters!$B$66),1,0)</f>
        <v>0</v>
      </c>
      <c r="CF59" s="10" t="n">
        <f aca="false">IF(AND(LEFT(AH59,5)="Death",ISNUMBER(AG59)),IF(BF59="Early",IF(AND(AG59&lt;Parameters!$B$70,ISNUMBER(U59),U59&lt;Parameters!$B$71),1,0),IF(AND(AG59&lt;Parameters!$B$67,OR(AND(ISNUMBER(U59),U59&lt;Parameters!$B$68),AND(ISNUMBER(V59),V59&lt;Parameters!$B$69))),1,0)),0)</f>
        <v>0</v>
      </c>
      <c r="CG59" s="10" t="n">
        <f aca="false">IF(AND(ISNUMBER(AG59),AG59&lt;0),1,0)</f>
        <v>1</v>
      </c>
      <c r="CH59" s="10" t="n">
        <f aca="false">IF(OR(AND(ISNUMBER(U59),U59&gt;Parameters!$B$74),AND(ISNUMBER(AF59),AF59&gt;Parameters!$B$75),AND(ISNUMBER(AE59),AE59&gt;Parameters!$B$76)),1,0)</f>
        <v>0</v>
      </c>
      <c r="CI59" s="10" t="n">
        <f aca="false">IF(AND(ISNUMBER(BC59),BC59&gt;=0,BC59&lt;=Parameters!$B$77),1,0)</f>
        <v>0</v>
      </c>
      <c r="CJ59" s="17" t="n">
        <f aca="false">IF(CF59=1,1,MIN(CD59,IF(CE59=1,3,6),IF(CG59=1,IF(BF59="Early",Parameters!$B$73,Parameters!$B$72),6),IF(CH59=1,3,6),IF(CI59=1,3,6)))</f>
        <v>3</v>
      </c>
      <c r="CK59" s="10" t="str">
        <f aca="false">INDEX(Parameters!$F$2:$F$7,CJ59)</f>
        <v>Hold</v>
      </c>
      <c r="CL59" s="10" t="str">
        <f aca="false">IF(CF59=1,"Hard sell: breakdown; ","")&amp;IF(CE59=1,"Insufficient history; ","")&amp;IF(AND(CF59=0,CG59=1),"Below 200D; ","")&amp;IF(CH59=1,"Extended - wait for pullback; ","")&amp;IF(CI59=1,"Earnings within "&amp;Parameters!$B$77&amp;"d; ","")</f>
        <v>Below 200D; </v>
      </c>
    </row>
    <row r="60" customFormat="false" ht="15" hidden="false" customHeight="false" outlineLevel="0" collapsed="false">
      <c r="A60" s="10" t="s">
        <v>452</v>
      </c>
      <c r="B60" s="10" t="n">
        <v>5</v>
      </c>
      <c r="C60" s="10" t="n">
        <v>5</v>
      </c>
      <c r="D60" s="10" t="n">
        <v>53.9</v>
      </c>
      <c r="E60" s="10" t="n">
        <v>-9</v>
      </c>
      <c r="F60" s="10"/>
      <c r="G60" s="10" t="s">
        <v>453</v>
      </c>
      <c r="H60" s="10" t="s">
        <v>334</v>
      </c>
      <c r="I60" s="10" t="n">
        <v>170.65</v>
      </c>
      <c r="J60" s="10" t="s">
        <v>295</v>
      </c>
      <c r="K60" s="10"/>
      <c r="L60" s="15" t="n">
        <v>23569350656</v>
      </c>
      <c r="M60" s="16" t="n">
        <v>46063</v>
      </c>
      <c r="N60" s="10" t="n">
        <v>4.17</v>
      </c>
      <c r="O60" s="16" t="n">
        <v>46154</v>
      </c>
      <c r="P60" s="10" t="s">
        <v>297</v>
      </c>
      <c r="Q60" s="10" t="n">
        <v>-0.66</v>
      </c>
      <c r="R60" s="10" t="n">
        <v>-1.51</v>
      </c>
      <c r="S60" s="10" t="n">
        <v>-1.23</v>
      </c>
      <c r="T60" s="10" t="n">
        <v>-5.37</v>
      </c>
      <c r="U60" s="10" t="n">
        <v>-8.1</v>
      </c>
      <c r="V60" s="10" t="n">
        <v>0.58</v>
      </c>
      <c r="W60" s="10" t="n">
        <v>0.68</v>
      </c>
      <c r="X60" s="10" t="n">
        <v>13.58</v>
      </c>
      <c r="Y60" s="10"/>
      <c r="Z60" s="10"/>
      <c r="AA60" s="10"/>
      <c r="AB60" s="10"/>
      <c r="AC60" s="10" t="n">
        <v>-4.06</v>
      </c>
      <c r="AD60" s="10" t="n">
        <v>-9.32</v>
      </c>
      <c r="AE60" s="10" t="n">
        <v>30.26</v>
      </c>
      <c r="AF60" s="10" t="n">
        <v>-5.48</v>
      </c>
      <c r="AG60" s="10" t="n">
        <v>-0.26</v>
      </c>
      <c r="AH60" s="10" t="s">
        <v>301</v>
      </c>
      <c r="AI60" s="10" t="n">
        <v>-0.77</v>
      </c>
      <c r="AJ60" s="10" t="n">
        <v>-14.52</v>
      </c>
      <c r="AK60" s="10"/>
      <c r="AL60" s="10"/>
      <c r="AM60" s="10"/>
      <c r="AN60" s="10"/>
      <c r="AO60" s="10"/>
      <c r="AP60" s="10"/>
      <c r="AQ60" s="10"/>
      <c r="AR60" s="10" t="n">
        <v>300</v>
      </c>
      <c r="AS60" s="16" t="n">
        <v>46275</v>
      </c>
      <c r="AT60" s="15" t="n">
        <v>0</v>
      </c>
      <c r="AU60" s="15" t="n">
        <v>0</v>
      </c>
      <c r="AV60" s="10"/>
      <c r="AW60" s="15" t="n">
        <v>0</v>
      </c>
      <c r="AX60" s="15" t="n">
        <v>0</v>
      </c>
      <c r="AY60" s="10"/>
      <c r="AZ60" s="15" t="n">
        <v>0</v>
      </c>
      <c r="BA60" s="10" t="n">
        <v>15.98</v>
      </c>
      <c r="BB60" s="10" t="n">
        <v>57.27</v>
      </c>
      <c r="BC60" s="17" t="n">
        <f aca="false">IF(AND(ISNUMBER(O60),ISNUMBER(AS60)),O60-AS60,"")</f>
        <v>-121</v>
      </c>
      <c r="BD60" s="10" t="n">
        <f aca="false">IF(OR(ISNUMBER(SEARCH("ETF",H60)),AND(F60="",AO60="")),1,0)</f>
        <v>1</v>
      </c>
      <c r="BE60" s="17" t="n">
        <f aca="false">IF(ISNUMBER(L60),IF(L60&gt;=Parameters!$B$3,2,IF(L60&gt;=Parameters!$B$4,1,0)),0)+IF(ISNUMBER(AW60),IF(AW60&gt;0,IF(AND(ISNUMBER(AM60),AM60&gt;=Parameters!$B$5),2,1),0),0)+IF(ISNUMBER(AX60),IF(AND(AX60&gt;0,ISNUMBER(AY60),AY60&gt;=Parameters!$B$6),1,0),0)+IF(ISNUMBER(AO60),IF(AND(AO60&gt;0,AO60&lt;=Parameters!$B$7),1,0),0)+IF(ISNUMBER(F60),IF(F60&gt;=Parameters!$B$8,1,0),0)</f>
        <v>1</v>
      </c>
      <c r="BF60" s="10" t="str">
        <f aca="false">IF(BD60=1,"ETF",IF(OR(AND(ISNUMBER(L60),L60&gt;=Parameters!$B$10),BE60&gt;=Parameters!$B$9),"Established","Early"))</f>
        <v>ETF</v>
      </c>
      <c r="BG60" s="10" t="n">
        <f aca="false">IF(LEFT(AH60,6)="Golden",2,IF(LEFT(AH60,5)="Death",-2,0))</f>
        <v>2</v>
      </c>
      <c r="BH60" s="10" t="n">
        <f aca="false">IF(ISNUMBER(AG60),IF(AG60&gt;Parameters!$B$12,2,IF(AG60&gt;0,1,IF(AG60&gt;=Parameters!$B$13,-1,-2))),0)</f>
        <v>-1</v>
      </c>
      <c r="BI60" s="10" t="n">
        <f aca="false">IF(ISNUMBER(AF60),IF(AND(AF60&gt;=Parameters!$B$14,AF60&lt;=Parameters!$B$15),1,IF(OR(AF60&gt;Parameters!$B$16,AF60&lt;Parameters!$B$17),-1,0)),0)</f>
        <v>0</v>
      </c>
      <c r="BJ60" s="10" t="n">
        <f aca="false">IF(ISNUMBER(AE60),IF(AND(AE60&gt;=Parameters!$B$18,AE60&lt;=Parameters!$B$19),1,IF(OR(AE60&gt;Parameters!$B$20,AE60&lt;Parameters!$B$21),-1,0)),0)</f>
        <v>-1</v>
      </c>
      <c r="BK60" s="10" t="n">
        <f aca="false">IF(ISNUMBER(E60),IF(E60&gt;Parameters!$B$22,1,IF(E60&lt;Parameters!$B$23,-1,0)),0)</f>
        <v>-1</v>
      </c>
      <c r="BL60" s="10" t="n">
        <f aca="false">IF(ISNUMBER(C60),IF(C60&gt;=Parameters!$B$24,1,IF(C60&lt;=Parameters!$B$25,-1,0)),0)</f>
        <v>0</v>
      </c>
      <c r="BM60" s="10" t="n">
        <f aca="false">IF(ISNUMBER(AJ60),IF(AND(AJ60&gt;Parameters!$B$26,ISNUMBER(U60)),IF(U60&lt;0,-1,1),0),0)</f>
        <v>0</v>
      </c>
      <c r="BN60" s="10" t="n">
        <f aca="false">IF(ISNUMBER(AD60),IF(AD60&gt;Parameters!$B$27,1,IF(AD60&lt;Parameters!$B$28,-1,0)),0)</f>
        <v>1</v>
      </c>
      <c r="BO60" s="17" t="n">
        <f aca="false">BG60+BH60+BI60+BJ60+BK60+BL60+BM60+BN60</f>
        <v>0</v>
      </c>
      <c r="BP60" s="10" t="n">
        <f aca="false">IF(ISNUMBER(F60),IF(F60&gt;=Parameters!$B$30,2,IF(F60&gt;=Parameters!$B$31,1,IF(F60&lt;=Parameters!$B$32,-1,0))),0)</f>
        <v>0</v>
      </c>
      <c r="BQ60" s="10" t="n">
        <f aca="false">IF(ISNUMBER(AK60),IF(AK60&gt;Parameters!$B$33,1,IF(AK60&lt;0,-1,0)),0)</f>
        <v>0</v>
      </c>
      <c r="BR60" s="10" t="n">
        <f aca="false">IF(ISNUMBER(AL60),IF(AL60&gt;Parameters!$B$34,1,IF(AL60&lt;0,-1,0)),0)</f>
        <v>0</v>
      </c>
      <c r="BS60" s="10" t="n">
        <f aca="false">IF(ISNUMBER(AP60),IF(AND(AP60&gt;0,AP60&lt;=Parameters!$B$35),1,IF(AP60&gt;Parameters!$B$36,-1,0)),0)</f>
        <v>0</v>
      </c>
      <c r="BT60" s="10" t="n">
        <f aca="false">IF(ISNUMBER(AY60),IF(AY60&gt;Parameters!$B$37,1,IF(AY60&lt;0,-1,0)),0)</f>
        <v>0</v>
      </c>
      <c r="BU60" s="10" t="n">
        <f aca="false">IF(ISNUMBER(AZ60),IF(AZ60&gt;0,1,0),0)</f>
        <v>0</v>
      </c>
      <c r="BV60" s="10" t="n">
        <f aca="false">IF(ISNUMBER(AL60),IF(AL60&gt;Parameters!$B$39,2,IF(AL60&gt;Parameters!$B$40,1,IF(AL60&lt;0,-2,IF(AL60&lt;Parameters!$B$41,-1,0)))),0)</f>
        <v>0</v>
      </c>
      <c r="BW60" s="10" t="n">
        <f aca="false">IF(ISNUMBER(AV60),IF(AV60&gt;Parameters!$B$42,1,IF(AV60&lt;Parameters!$B$43,-1,0)),0)</f>
        <v>0</v>
      </c>
      <c r="BX60" s="10" t="n">
        <f aca="false">IF(AND(ISNUMBER(AX60),AX60&gt;0),1,IF(AND(ISNUMBER(AY60),AY60&lt;Parameters!$B$44),-1,0))</f>
        <v>0</v>
      </c>
      <c r="BY60" s="10" t="n">
        <f aca="false">IF(ISNUMBER(AW60),IF(AW60&gt;0,1,0),0)</f>
        <v>0</v>
      </c>
      <c r="BZ60" s="10" t="n">
        <f aca="false">IF(ISNUMBER(AQ60),IF(AQ60&gt;Parameters!$B$46,-2,IF(AQ60&gt;Parameters!$B$45,-1,0)),0)</f>
        <v>0</v>
      </c>
      <c r="CA60" s="10" t="n">
        <f aca="false">IF(ISNUMBER(F60),IF(F60&gt;=Parameters!$B$47,1,IF(F60&lt;=Parameters!$B$48,-1,0)),0)</f>
        <v>0</v>
      </c>
      <c r="CB60" s="17" t="n">
        <f aca="false">IF(BF60="Established",BP60+BQ60+BR60+BS60+BT60+BU60,IF(BF60="Early",BV60+BW60+BX60+BY60+BZ60+CA60,0))</f>
        <v>0</v>
      </c>
      <c r="CC60" s="18" t="n">
        <f aca="false">IF(BF60="Established",BO60+CB60,IF(BF60="Early",BO60+Parameters!$B$50*CB60,BO60))</f>
        <v>0</v>
      </c>
      <c r="CD60" s="17" t="n">
        <f aca="false">IF(BF60="Established",IF(CC60&gt;=Parameters!$B$51,6,IF(CC60&gt;=Parameters!$B$52,5,IF(CC60&gt;=Parameters!$B$53,4,IF(CC60&gt;=Parameters!$B$54,3,IF(CC60&gt;=Parameters!$B$55,2,1))))),IF(BF60="Early",IF(CC60&gt;=Parameters!$B$56,5,IF(CC60&gt;=Parameters!$B$57,4,IF(CC60&gt;=Parameters!$B$58,3,IF(CC60&gt;=Parameters!$B$59,2,1)))),IF(CC60&gt;=Parameters!$B$60,6,IF(CC60&gt;=Parameters!$B$61,5,IF(CC60&gt;=Parameters!$B$62,4,IF(CC60&gt;=Parameters!$B$63,3,IF(CC60&gt;=Parameters!$B$64,2,1)))))))</f>
        <v>3</v>
      </c>
      <c r="CE60" s="10" t="n">
        <f aca="false">IF(AND(ISNUMBER(AR60),AR60&lt;Parameters!$B$66),1,0)</f>
        <v>0</v>
      </c>
      <c r="CF60" s="10" t="n">
        <f aca="false">IF(AND(LEFT(AH60,5)="Death",ISNUMBER(AG60)),IF(BF60="Early",IF(AND(AG60&lt;Parameters!$B$70,ISNUMBER(U60),U60&lt;Parameters!$B$71),1,0),IF(AND(AG60&lt;Parameters!$B$67,OR(AND(ISNUMBER(U60),U60&lt;Parameters!$B$68),AND(ISNUMBER(V60),V60&lt;Parameters!$B$69))),1,0)),0)</f>
        <v>0</v>
      </c>
      <c r="CG60" s="10" t="n">
        <f aca="false">IF(AND(ISNUMBER(AG60),AG60&lt;0),1,0)</f>
        <v>1</v>
      </c>
      <c r="CH60" s="10" t="n">
        <f aca="false">IF(OR(AND(ISNUMBER(U60),U60&gt;Parameters!$B$74),AND(ISNUMBER(AF60),AF60&gt;Parameters!$B$75),AND(ISNUMBER(AE60),AE60&gt;Parameters!$B$76)),1,0)</f>
        <v>0</v>
      </c>
      <c r="CI60" s="10" t="n">
        <f aca="false">IF(AND(ISNUMBER(BC60),BC60&gt;=0,BC60&lt;=Parameters!$B$77),1,0)</f>
        <v>0</v>
      </c>
      <c r="CJ60" s="17" t="n">
        <f aca="false">IF(CF60=1,1,MIN(CD60,IF(CE60=1,3,6),IF(CG60=1,IF(BF60="Early",Parameters!$B$73,Parameters!$B$72),6),IF(CH60=1,3,6),IF(CI60=1,3,6)))</f>
        <v>3</v>
      </c>
      <c r="CK60" s="10" t="str">
        <f aca="false">INDEX(Parameters!$F$2:$F$7,CJ60)</f>
        <v>Hold</v>
      </c>
      <c r="CL60" s="10" t="str">
        <f aca="false">IF(CF60=1,"Hard sell: breakdown; ","")&amp;IF(CE60=1,"Insufficient history; ","")&amp;IF(AND(CF60=0,CG60=1),"Below 200D; ","")&amp;IF(CH60=1,"Extended - wait for pullback; ","")&amp;IF(CI60=1,"Earnings within "&amp;Parameters!$B$77&amp;"d; ","")</f>
        <v>Below 200D; </v>
      </c>
    </row>
    <row r="61" customFormat="false" ht="15" hidden="false" customHeight="false" outlineLevel="0" collapsed="false">
      <c r="A61" s="10" t="s">
        <v>454</v>
      </c>
      <c r="B61" s="10" t="n">
        <v>5</v>
      </c>
      <c r="C61" s="10" t="n">
        <v>3</v>
      </c>
      <c r="D61" s="10" t="n">
        <v>34</v>
      </c>
      <c r="E61" s="10" t="n">
        <v>-8.4</v>
      </c>
      <c r="F61" s="10" t="n">
        <v>8</v>
      </c>
      <c r="G61" s="10" t="s">
        <v>455</v>
      </c>
      <c r="H61" s="10" t="s">
        <v>360</v>
      </c>
      <c r="I61" s="10" t="n">
        <v>202.59</v>
      </c>
      <c r="J61" s="10" t="s">
        <v>295</v>
      </c>
      <c r="K61" s="10" t="s">
        <v>360</v>
      </c>
      <c r="L61" s="15" t="n">
        <v>64950513079</v>
      </c>
      <c r="M61" s="16" t="n">
        <v>46226</v>
      </c>
      <c r="N61" s="10" t="n">
        <v>7.14</v>
      </c>
      <c r="O61" s="16" t="n">
        <v>46317</v>
      </c>
      <c r="P61" s="10" t="s">
        <v>297</v>
      </c>
      <c r="Q61" s="10" t="n">
        <v>-1.14</v>
      </c>
      <c r="R61" s="10" t="n">
        <v>-1.59</v>
      </c>
      <c r="S61" s="10" t="n">
        <v>-1.69</v>
      </c>
      <c r="T61" s="10" t="n">
        <v>-8.19</v>
      </c>
      <c r="U61" s="10" t="n">
        <v>-11.96</v>
      </c>
      <c r="V61" s="10" t="n">
        <v>-1.6</v>
      </c>
      <c r="W61" s="10" t="n">
        <v>-15.39</v>
      </c>
      <c r="X61" s="10" t="n">
        <v>0.35</v>
      </c>
      <c r="Y61" s="10"/>
      <c r="Z61" s="10"/>
      <c r="AA61" s="10"/>
      <c r="AB61" s="10"/>
      <c r="AC61" s="10" t="n">
        <v>-6.24</v>
      </c>
      <c r="AD61" s="10" t="n">
        <v>-19.61</v>
      </c>
      <c r="AE61" s="10" t="n">
        <v>29.41</v>
      </c>
      <c r="AF61" s="10" t="n">
        <v>-10.88</v>
      </c>
      <c r="AG61" s="10" t="n">
        <v>-8.75</v>
      </c>
      <c r="AH61" s="10" t="s">
        <v>301</v>
      </c>
      <c r="AI61" s="10" t="n">
        <v>-1.11</v>
      </c>
      <c r="AJ61" s="10" t="n">
        <v>-24.42</v>
      </c>
      <c r="AK61" s="10" t="n">
        <v>261.9</v>
      </c>
      <c r="AL61" s="10" t="n">
        <v>4.3</v>
      </c>
      <c r="AM61" s="10" t="n">
        <v>21.72</v>
      </c>
      <c r="AN61" s="10" t="n">
        <v>46.58</v>
      </c>
      <c r="AO61" s="10" t="n">
        <v>20.95</v>
      </c>
      <c r="AP61" s="10" t="n">
        <v>0.03</v>
      </c>
      <c r="AQ61" s="10" t="n">
        <v>1.77</v>
      </c>
      <c r="AR61" s="10" t="n">
        <v>300</v>
      </c>
      <c r="AS61" s="16" t="n">
        <v>46275</v>
      </c>
      <c r="AT61" s="15" t="n">
        <v>38057000960</v>
      </c>
      <c r="AU61" s="15" t="n">
        <v>13895000064</v>
      </c>
      <c r="AV61" s="10" t="n">
        <v>36.51</v>
      </c>
      <c r="AW61" s="15" t="n">
        <v>8265999872</v>
      </c>
      <c r="AX61" s="15" t="n">
        <v>2610374912</v>
      </c>
      <c r="AY61" s="10" t="n">
        <v>6.86</v>
      </c>
      <c r="AZ61" s="15" t="n">
        <v>-25759001600</v>
      </c>
      <c r="BA61" s="10" t="n">
        <v>8.48</v>
      </c>
      <c r="BB61" s="10" t="n">
        <v>24.26</v>
      </c>
      <c r="BC61" s="17" t="n">
        <f aca="false">IF(AND(ISNUMBER(O61),ISNUMBER(AS61)),O61-AS61,"")</f>
        <v>42</v>
      </c>
      <c r="BD61" s="10" t="n">
        <f aca="false">IF(OR(ISNUMBER(SEARCH("ETF",H61)),AND(F61="",AO61="")),1,0)</f>
        <v>0</v>
      </c>
      <c r="BE61" s="17" t="n">
        <f aca="false">IF(ISNUMBER(L61),IF(L61&gt;=Parameters!$B$3,2,IF(L61&gt;=Parameters!$B$4,1,0)),0)+IF(ISNUMBER(AW61),IF(AW61&gt;0,IF(AND(ISNUMBER(AM61),AM61&gt;=Parameters!$B$5),2,1),0),0)+IF(ISNUMBER(AX61),IF(AND(AX61&gt;0,ISNUMBER(AY61),AY61&gt;=Parameters!$B$6),1,0),0)+IF(ISNUMBER(AO61),IF(AND(AO61&gt;0,AO61&lt;=Parameters!$B$7),1,0),0)+IF(ISNUMBER(F61),IF(F61&gt;=Parameters!$B$8,1,0),0)</f>
        <v>6</v>
      </c>
      <c r="BF61" s="10" t="str">
        <f aca="false">IF(BD61=1,"ETF",IF(OR(AND(ISNUMBER(L61),L61&gt;=Parameters!$B$10),BE61&gt;=Parameters!$B$9),"Established","Early"))</f>
        <v>Established</v>
      </c>
      <c r="BG61" s="10" t="n">
        <f aca="false">IF(LEFT(AH61,6)="Golden",2,IF(LEFT(AH61,5)="Death",-2,0))</f>
        <v>2</v>
      </c>
      <c r="BH61" s="10" t="n">
        <f aca="false">IF(ISNUMBER(AG61),IF(AG61&gt;Parameters!$B$12,2,IF(AG61&gt;0,1,IF(AG61&gt;=Parameters!$B$13,-1,-2))),0)</f>
        <v>-1</v>
      </c>
      <c r="BI61" s="10" t="n">
        <f aca="false">IF(ISNUMBER(AF61),IF(AND(AF61&gt;=Parameters!$B$14,AF61&lt;=Parameters!$B$15),1,IF(OR(AF61&gt;Parameters!$B$16,AF61&lt;Parameters!$B$17),-1,0)),0)</f>
        <v>-1</v>
      </c>
      <c r="BJ61" s="10" t="n">
        <f aca="false">IF(ISNUMBER(AE61),IF(AND(AE61&gt;=Parameters!$B$18,AE61&lt;=Parameters!$B$19),1,IF(OR(AE61&gt;Parameters!$B$20,AE61&lt;Parameters!$B$21),-1,0)),0)</f>
        <v>-1</v>
      </c>
      <c r="BK61" s="10" t="n">
        <f aca="false">IF(ISNUMBER(E61),IF(E61&gt;Parameters!$B$22,1,IF(E61&lt;Parameters!$B$23,-1,0)),0)</f>
        <v>-1</v>
      </c>
      <c r="BL61" s="10" t="n">
        <f aca="false">IF(ISNUMBER(C61),IF(C61&gt;=Parameters!$B$24,1,IF(C61&lt;=Parameters!$B$25,-1,0)),0)</f>
        <v>-1</v>
      </c>
      <c r="BM61" s="10" t="n">
        <f aca="false">IF(ISNUMBER(AJ61),IF(AND(AJ61&gt;Parameters!$B$26,ISNUMBER(U61)),IF(U61&lt;0,-1,1),0),0)</f>
        <v>0</v>
      </c>
      <c r="BN61" s="10" t="n">
        <f aca="false">IF(ISNUMBER(AD61),IF(AD61&gt;Parameters!$B$27,1,IF(AD61&lt;Parameters!$B$28,-1,0)),0)</f>
        <v>0</v>
      </c>
      <c r="BO61" s="17" t="n">
        <f aca="false">BG61+BH61+BI61+BJ61+BK61+BL61+BM61+BN61</f>
        <v>-3</v>
      </c>
      <c r="BP61" s="10" t="n">
        <f aca="false">IF(ISNUMBER(F61),IF(F61&gt;=Parameters!$B$30,2,IF(F61&gt;=Parameters!$B$31,1,IF(F61&lt;=Parameters!$B$32,-1,0))),0)</f>
        <v>2</v>
      </c>
      <c r="BQ61" s="10" t="n">
        <f aca="false">IF(ISNUMBER(AK61),IF(AK61&gt;Parameters!$B$33,1,IF(AK61&lt;0,-1,0)),0)</f>
        <v>1</v>
      </c>
      <c r="BR61" s="10" t="n">
        <f aca="false">IF(ISNUMBER(AL61),IF(AL61&gt;Parameters!$B$34,1,IF(AL61&lt;0,-1,0)),0)</f>
        <v>0</v>
      </c>
      <c r="BS61" s="10" t="n">
        <f aca="false">IF(ISNUMBER(AP61),IF(AND(AP61&gt;0,AP61&lt;=Parameters!$B$35),1,IF(AP61&gt;Parameters!$B$36,-1,0)),0)</f>
        <v>1</v>
      </c>
      <c r="BT61" s="10" t="n">
        <f aca="false">IF(ISNUMBER(AY61),IF(AY61&gt;Parameters!$B$37,1,IF(AY61&lt;0,-1,0)),0)</f>
        <v>0</v>
      </c>
      <c r="BU61" s="10" t="n">
        <f aca="false">IF(ISNUMBER(AZ61),IF(AZ61&gt;0,1,0),0)</f>
        <v>0</v>
      </c>
      <c r="BV61" s="10" t="n">
        <f aca="false">IF(ISNUMBER(AL61),IF(AL61&gt;Parameters!$B$39,2,IF(AL61&gt;Parameters!$B$40,1,IF(AL61&lt;0,-2,IF(AL61&lt;Parameters!$B$41,-1,0)))),0)</f>
        <v>-1</v>
      </c>
      <c r="BW61" s="10" t="n">
        <f aca="false">IF(ISNUMBER(AV61),IF(AV61&gt;Parameters!$B$42,1,IF(AV61&lt;Parameters!$B$43,-1,0)),0)</f>
        <v>0</v>
      </c>
      <c r="BX61" s="10" t="n">
        <f aca="false">IF(AND(ISNUMBER(AX61),AX61&gt;0),1,IF(AND(ISNUMBER(AY61),AY61&lt;Parameters!$B$44),-1,0))</f>
        <v>1</v>
      </c>
      <c r="BY61" s="10" t="n">
        <f aca="false">IF(ISNUMBER(AW61),IF(AW61&gt;0,1,0),0)</f>
        <v>1</v>
      </c>
      <c r="BZ61" s="10" t="n">
        <f aca="false">IF(ISNUMBER(AQ61),IF(AQ61&gt;Parameters!$B$46,-2,IF(AQ61&gt;Parameters!$B$45,-1,0)),0)</f>
        <v>0</v>
      </c>
      <c r="CA61" s="10" t="n">
        <f aca="false">IF(ISNUMBER(F61),IF(F61&gt;=Parameters!$B$47,1,IF(F61&lt;=Parameters!$B$48,-1,0)),0)</f>
        <v>1</v>
      </c>
      <c r="CB61" s="17" t="n">
        <f aca="false">IF(BF61="Established",BP61+BQ61+BR61+BS61+BT61+BU61,IF(BF61="Early",BV61+BW61+BX61+BY61+BZ61+CA61,0))</f>
        <v>4</v>
      </c>
      <c r="CC61" s="18" t="n">
        <f aca="false">IF(BF61="Established",BO61+CB61,IF(BF61="Early",BO61+Parameters!$B$50*CB61,BO61))</f>
        <v>1</v>
      </c>
      <c r="CD61" s="17" t="n">
        <f aca="false">IF(BF61="Established",IF(CC61&gt;=Parameters!$B$51,6,IF(CC61&gt;=Parameters!$B$52,5,IF(CC61&gt;=Parameters!$B$53,4,IF(CC61&gt;=Parameters!$B$54,3,IF(CC61&gt;=Parameters!$B$55,2,1))))),IF(BF61="Early",IF(CC61&gt;=Parameters!$B$56,5,IF(CC61&gt;=Parameters!$B$57,4,IF(CC61&gt;=Parameters!$B$58,3,IF(CC61&gt;=Parameters!$B$59,2,1)))),IF(CC61&gt;=Parameters!$B$60,6,IF(CC61&gt;=Parameters!$B$61,5,IF(CC61&gt;=Parameters!$B$62,4,IF(CC61&gt;=Parameters!$B$63,3,IF(CC61&gt;=Parameters!$B$64,2,1)))))))</f>
        <v>3</v>
      </c>
      <c r="CE61" s="10" t="n">
        <f aca="false">IF(AND(ISNUMBER(AR61),AR61&lt;Parameters!$B$66),1,0)</f>
        <v>0</v>
      </c>
      <c r="CF61" s="10" t="n">
        <f aca="false">IF(AND(LEFT(AH61,5)="Death",ISNUMBER(AG61)),IF(BF61="Early",IF(AND(AG61&lt;Parameters!$B$70,ISNUMBER(U61),U61&lt;Parameters!$B$71),1,0),IF(AND(AG61&lt;Parameters!$B$67,OR(AND(ISNUMBER(U61),U61&lt;Parameters!$B$68),AND(ISNUMBER(V61),V61&lt;Parameters!$B$69))),1,0)),0)</f>
        <v>0</v>
      </c>
      <c r="CG61" s="10" t="n">
        <f aca="false">IF(AND(ISNUMBER(AG61),AG61&lt;0),1,0)</f>
        <v>1</v>
      </c>
      <c r="CH61" s="10" t="n">
        <f aca="false">IF(OR(AND(ISNUMBER(U61),U61&gt;Parameters!$B$74),AND(ISNUMBER(AF61),AF61&gt;Parameters!$B$75),AND(ISNUMBER(AE61),AE61&gt;Parameters!$B$76)),1,0)</f>
        <v>0</v>
      </c>
      <c r="CI61" s="10" t="n">
        <f aca="false">IF(AND(ISNUMBER(BC61),BC61&gt;=0,BC61&lt;=Parameters!$B$77),1,0)</f>
        <v>0</v>
      </c>
      <c r="CJ61" s="17" t="n">
        <f aca="false">IF(CF61=1,1,MIN(CD61,IF(CE61=1,3,6),IF(CG61=1,IF(BF61="Early",Parameters!$B$73,Parameters!$B$72),6),IF(CH61=1,3,6),IF(CI61=1,3,6)))</f>
        <v>3</v>
      </c>
      <c r="CK61" s="10" t="str">
        <f aca="false">INDEX(Parameters!$F$2:$F$7,CJ61)</f>
        <v>Hold</v>
      </c>
      <c r="CL61" s="10" t="str">
        <f aca="false">IF(CF61=1,"Hard sell: breakdown; ","")&amp;IF(CE61=1,"Insufficient history; ","")&amp;IF(AND(CF61=0,CG61=1),"Below 200D; ","")&amp;IF(CH61=1,"Extended - wait for pullback; ","")&amp;IF(CI61=1,"Earnings within "&amp;Parameters!$B$77&amp;"d; ","")</f>
        <v>Below 200D; </v>
      </c>
    </row>
    <row r="62" customFormat="false" ht="15" hidden="false" customHeight="false" outlineLevel="0" collapsed="false">
      <c r="A62" s="10" t="s">
        <v>456</v>
      </c>
      <c r="B62" s="10" t="n">
        <v>5</v>
      </c>
      <c r="C62" s="10"/>
      <c r="D62" s="10"/>
      <c r="E62" s="10"/>
      <c r="F62" s="10" t="n">
        <v>5</v>
      </c>
      <c r="G62" s="10" t="s">
        <v>457</v>
      </c>
      <c r="H62" s="10" t="s">
        <v>349</v>
      </c>
      <c r="I62" s="10" t="n">
        <v>150.96</v>
      </c>
      <c r="J62" s="10" t="s">
        <v>295</v>
      </c>
      <c r="K62" s="10" t="s">
        <v>360</v>
      </c>
      <c r="L62" s="15" t="n">
        <v>1944971630884</v>
      </c>
      <c r="M62" s="16" t="n">
        <v>46238</v>
      </c>
      <c r="N62" s="10" t="n">
        <v>-68.97</v>
      </c>
      <c r="O62" s="16" t="n">
        <v>46329</v>
      </c>
      <c r="P62" s="10" t="s">
        <v>297</v>
      </c>
      <c r="Q62" s="10" t="n">
        <v>2.31</v>
      </c>
      <c r="R62" s="10" t="n">
        <v>-3.86</v>
      </c>
      <c r="S62" s="10" t="n">
        <v>7.28</v>
      </c>
      <c r="T62" s="10" t="n">
        <v>8.11</v>
      </c>
      <c r="U62" s="10" t="n">
        <v>13.26</v>
      </c>
      <c r="V62" s="10"/>
      <c r="W62" s="10"/>
      <c r="X62" s="10"/>
      <c r="Y62" s="10"/>
      <c r="Z62" s="10"/>
      <c r="AA62" s="10"/>
      <c r="AB62" s="10"/>
      <c r="AC62" s="10"/>
      <c r="AD62" s="10" t="n">
        <v>-33.1</v>
      </c>
      <c r="AE62" s="10" t="n">
        <v>59.22</v>
      </c>
      <c r="AF62" s="10" t="n">
        <v>11.61</v>
      </c>
      <c r="AG62" s="10"/>
      <c r="AH62" s="10"/>
      <c r="AI62" s="10" t="n">
        <v>1.27</v>
      </c>
      <c r="AJ62" s="10" t="n">
        <v>-0.33</v>
      </c>
      <c r="AK62" s="10"/>
      <c r="AL62" s="10" t="n">
        <v>91.9</v>
      </c>
      <c r="AM62" s="10" t="n">
        <v>-38.57</v>
      </c>
      <c r="AN62" s="10" t="n">
        <v>-11.95</v>
      </c>
      <c r="AO62" s="10" t="n">
        <v>96.84</v>
      </c>
      <c r="AP62" s="10" t="n">
        <v>96.84</v>
      </c>
      <c r="AQ62" s="10" t="n">
        <v>6.21</v>
      </c>
      <c r="AR62" s="10" t="n">
        <v>63</v>
      </c>
      <c r="AS62" s="16" t="n">
        <v>46275</v>
      </c>
      <c r="AT62" s="15" t="n">
        <v>23043999744</v>
      </c>
      <c r="AU62" s="15" t="n">
        <v>11953999872</v>
      </c>
      <c r="AV62" s="10" t="n">
        <v>51.87</v>
      </c>
      <c r="AW62" s="15" t="n">
        <v>-8888999936</v>
      </c>
      <c r="AX62" s="15" t="n">
        <v>17355000000</v>
      </c>
      <c r="AY62" s="10" t="n">
        <v>75.31</v>
      </c>
      <c r="AZ62" s="15" t="n">
        <v>60301000704</v>
      </c>
      <c r="BA62" s="10" t="n">
        <v>44</v>
      </c>
      <c r="BB62" s="10" t="n">
        <v>38.18</v>
      </c>
      <c r="BC62" s="17" t="n">
        <f aca="false">IF(AND(ISNUMBER(O62),ISNUMBER(AS62)),O62-AS62,"")</f>
        <v>54</v>
      </c>
      <c r="BD62" s="10" t="n">
        <f aca="false">IF(OR(ISNUMBER(SEARCH("ETF",H62)),AND(F62="",AO62="")),1,0)</f>
        <v>0</v>
      </c>
      <c r="BE62" s="17" t="n">
        <f aca="false">IF(ISNUMBER(L62),IF(L62&gt;=Parameters!$B$3,2,IF(L62&gt;=Parameters!$B$4,1,0)),0)+IF(ISNUMBER(AW62),IF(AW62&gt;0,IF(AND(ISNUMBER(AM62),AM62&gt;=Parameters!$B$5),2,1),0),0)+IF(ISNUMBER(AX62),IF(AND(AX62&gt;0,ISNUMBER(AY62),AY62&gt;=Parameters!$B$6),1,0),0)+IF(ISNUMBER(AO62),IF(AND(AO62&gt;0,AO62&lt;=Parameters!$B$7),1,0),0)+IF(ISNUMBER(F62),IF(F62&gt;=Parameters!$B$8,1,0),0)</f>
        <v>3</v>
      </c>
      <c r="BF62" s="10" t="str">
        <f aca="false">IF(BD62=1,"ETF",IF(OR(AND(ISNUMBER(L62),L62&gt;=Parameters!$B$10),BE62&gt;=Parameters!$B$9),"Established","Early"))</f>
        <v>Established</v>
      </c>
      <c r="BG62" s="10" t="n">
        <f aca="false">IF(LEFT(AH62,6)="Golden",2,IF(LEFT(AH62,5)="Death",-2,0))</f>
        <v>0</v>
      </c>
      <c r="BH62" s="10" t="n">
        <f aca="false">IF(ISNUMBER(AG62),IF(AG62&gt;Parameters!$B$12,2,IF(AG62&gt;0,1,IF(AG62&gt;=Parameters!$B$13,-1,-2))),0)</f>
        <v>0</v>
      </c>
      <c r="BI62" s="10" t="n">
        <f aca="false">IF(ISNUMBER(AF62),IF(AND(AF62&gt;=Parameters!$B$14,AF62&lt;=Parameters!$B$15),1,IF(OR(AF62&gt;Parameters!$B$16,AF62&lt;Parameters!$B$17),-1,0)),0)</f>
        <v>0</v>
      </c>
      <c r="BJ62" s="10" t="n">
        <f aca="false">IF(ISNUMBER(AE62),IF(AND(AE62&gt;=Parameters!$B$18,AE62&lt;=Parameters!$B$19),1,IF(OR(AE62&gt;Parameters!$B$20,AE62&lt;Parameters!$B$21),-1,0)),0)</f>
        <v>1</v>
      </c>
      <c r="BK62" s="10" t="n">
        <f aca="false">IF(ISNUMBER(E62),IF(E62&gt;Parameters!$B$22,1,IF(E62&lt;Parameters!$B$23,-1,0)),0)</f>
        <v>0</v>
      </c>
      <c r="BL62" s="10" t="n">
        <f aca="false">IF(ISNUMBER(C62),IF(C62&gt;=Parameters!$B$24,1,IF(C62&lt;=Parameters!$B$25,-1,0)),0)</f>
        <v>0</v>
      </c>
      <c r="BM62" s="10" t="n">
        <f aca="false">IF(ISNUMBER(AJ62),IF(AND(AJ62&gt;Parameters!$B$26,ISNUMBER(U62)),IF(U62&lt;0,-1,1),0),0)</f>
        <v>0</v>
      </c>
      <c r="BN62" s="10" t="n">
        <f aca="false">IF(ISNUMBER(AD62),IF(AD62&gt;Parameters!$B$27,1,IF(AD62&lt;Parameters!$B$28,-1,0)),0)</f>
        <v>-1</v>
      </c>
      <c r="BO62" s="17" t="n">
        <f aca="false">BG62+BH62+BI62+BJ62+BK62+BL62+BM62+BN62</f>
        <v>0</v>
      </c>
      <c r="BP62" s="10" t="n">
        <f aca="false">IF(ISNUMBER(F62),IF(F62&gt;=Parameters!$B$30,2,IF(F62&gt;=Parameters!$B$31,1,IF(F62&lt;=Parameters!$B$32,-1,0))),0)</f>
        <v>0</v>
      </c>
      <c r="BQ62" s="10" t="n">
        <f aca="false">IF(ISNUMBER(AK62),IF(AK62&gt;Parameters!$B$33,1,IF(AK62&lt;0,-1,0)),0)</f>
        <v>0</v>
      </c>
      <c r="BR62" s="10" t="n">
        <f aca="false">IF(ISNUMBER(AL62),IF(AL62&gt;Parameters!$B$34,1,IF(AL62&lt;0,-1,0)),0)</f>
        <v>1</v>
      </c>
      <c r="BS62" s="10" t="n">
        <f aca="false">IF(ISNUMBER(AP62),IF(AND(AP62&gt;0,AP62&lt;=Parameters!$B$35),1,IF(AP62&gt;Parameters!$B$36,-1,0)),0)</f>
        <v>-1</v>
      </c>
      <c r="BT62" s="10" t="n">
        <f aca="false">IF(ISNUMBER(AY62),IF(AY62&gt;Parameters!$B$37,1,IF(AY62&lt;0,-1,0)),0)</f>
        <v>1</v>
      </c>
      <c r="BU62" s="10" t="n">
        <f aca="false">IF(ISNUMBER(AZ62),IF(AZ62&gt;0,1,0),0)</f>
        <v>1</v>
      </c>
      <c r="BV62" s="10" t="n">
        <f aca="false">IF(ISNUMBER(AL62),IF(AL62&gt;Parameters!$B$39,2,IF(AL62&gt;Parameters!$B$40,1,IF(AL62&lt;0,-2,IF(AL62&lt;Parameters!$B$41,-1,0)))),0)</f>
        <v>2</v>
      </c>
      <c r="BW62" s="10" t="n">
        <f aca="false">IF(ISNUMBER(AV62),IF(AV62&gt;Parameters!$B$42,1,IF(AV62&lt;Parameters!$B$43,-1,0)),0)</f>
        <v>1</v>
      </c>
      <c r="BX62" s="10" t="n">
        <f aca="false">IF(AND(ISNUMBER(AX62),AX62&gt;0),1,IF(AND(ISNUMBER(AY62),AY62&lt;Parameters!$B$44),-1,0))</f>
        <v>1</v>
      </c>
      <c r="BY62" s="10" t="n">
        <f aca="false">IF(ISNUMBER(AW62),IF(AW62&gt;0,1,0),0)</f>
        <v>0</v>
      </c>
      <c r="BZ62" s="10" t="n">
        <f aca="false">IF(ISNUMBER(AQ62),IF(AQ62&gt;Parameters!$B$46,-2,IF(AQ62&gt;Parameters!$B$45,-1,0)),0)</f>
        <v>0</v>
      </c>
      <c r="CA62" s="10" t="n">
        <f aca="false">IF(ISNUMBER(F62),IF(F62&gt;=Parameters!$B$47,1,IF(F62&lt;=Parameters!$B$48,-1,0)),0)</f>
        <v>0</v>
      </c>
      <c r="CB62" s="17" t="n">
        <f aca="false">IF(BF62="Established",BP62+BQ62+BR62+BS62+BT62+BU62,IF(BF62="Early",BV62+BW62+BX62+BY62+BZ62+CA62,0))</f>
        <v>2</v>
      </c>
      <c r="CC62" s="18" t="n">
        <f aca="false">IF(BF62="Established",BO62+CB62,IF(BF62="Early",BO62+Parameters!$B$50*CB62,BO62))</f>
        <v>2</v>
      </c>
      <c r="CD62" s="17" t="n">
        <f aca="false">IF(BF62="Established",IF(CC62&gt;=Parameters!$B$51,6,IF(CC62&gt;=Parameters!$B$52,5,IF(CC62&gt;=Parameters!$B$53,4,IF(CC62&gt;=Parameters!$B$54,3,IF(CC62&gt;=Parameters!$B$55,2,1))))),IF(BF62="Early",IF(CC62&gt;=Parameters!$B$56,5,IF(CC62&gt;=Parameters!$B$57,4,IF(CC62&gt;=Parameters!$B$58,3,IF(CC62&gt;=Parameters!$B$59,2,1)))),IF(CC62&gt;=Parameters!$B$60,6,IF(CC62&gt;=Parameters!$B$61,5,IF(CC62&gt;=Parameters!$B$62,4,IF(CC62&gt;=Parameters!$B$63,3,IF(CC62&gt;=Parameters!$B$64,2,1)))))))</f>
        <v>3</v>
      </c>
      <c r="CE62" s="10" t="n">
        <f aca="false">IF(AND(ISNUMBER(AR62),AR62&lt;Parameters!$B$66),1,0)</f>
        <v>1</v>
      </c>
      <c r="CF62" s="10" t="n">
        <f aca="false">IF(AND(LEFT(AH62,5)="Death",ISNUMBER(AG62)),IF(BF62="Early",IF(AND(AG62&lt;Parameters!$B$70,ISNUMBER(U62),U62&lt;Parameters!$B$71),1,0),IF(AND(AG62&lt;Parameters!$B$67,OR(AND(ISNUMBER(U62),U62&lt;Parameters!$B$68),AND(ISNUMBER(V62),V62&lt;Parameters!$B$69))),1,0)),0)</f>
        <v>0</v>
      </c>
      <c r="CG62" s="10" t="n">
        <f aca="false">IF(AND(ISNUMBER(AG62),AG62&lt;0),1,0)</f>
        <v>0</v>
      </c>
      <c r="CH62" s="10" t="n">
        <f aca="false">IF(OR(AND(ISNUMBER(U62),U62&gt;Parameters!$B$74),AND(ISNUMBER(AF62),AF62&gt;Parameters!$B$75),AND(ISNUMBER(AE62),AE62&gt;Parameters!$B$76)),1,0)</f>
        <v>0</v>
      </c>
      <c r="CI62" s="10" t="n">
        <f aca="false">IF(AND(ISNUMBER(BC62),BC62&gt;=0,BC62&lt;=Parameters!$B$77),1,0)</f>
        <v>0</v>
      </c>
      <c r="CJ62" s="17" t="n">
        <f aca="false">IF(CF62=1,1,MIN(CD62,IF(CE62=1,3,6),IF(CG62=1,IF(BF62="Early",Parameters!$B$73,Parameters!$B$72),6),IF(CH62=1,3,6),IF(CI62=1,3,6)))</f>
        <v>3</v>
      </c>
      <c r="CK62" s="10" t="str">
        <f aca="false">INDEX(Parameters!$F$2:$F$7,CJ62)</f>
        <v>Hold</v>
      </c>
      <c r="CL62" s="10" t="str">
        <f aca="false">IF(CF62=1,"Hard sell: breakdown; ","")&amp;IF(CE62=1,"Insufficient history; ","")&amp;IF(AND(CF62=0,CG62=1),"Below 200D; ","")&amp;IF(CH62=1,"Extended - wait for pullback; ","")&amp;IF(CI62=1,"Earnings within "&amp;Parameters!$B$77&amp;"d; ","")</f>
        <v>Insufficient history; </v>
      </c>
    </row>
    <row r="63" customFormat="false" ht="15" hidden="false" customHeight="false" outlineLevel="0" collapsed="false">
      <c r="A63" s="10" t="s">
        <v>458</v>
      </c>
      <c r="B63" s="10" t="n">
        <v>5</v>
      </c>
      <c r="C63" s="10" t="n">
        <v>4</v>
      </c>
      <c r="D63" s="10" t="n">
        <v>20</v>
      </c>
      <c r="E63" s="10" t="n">
        <v>13.4</v>
      </c>
      <c r="F63" s="10" t="n">
        <v>6</v>
      </c>
      <c r="G63" s="10" t="s">
        <v>459</v>
      </c>
      <c r="H63" s="10" t="s">
        <v>328</v>
      </c>
      <c r="I63" s="10" t="n">
        <v>651.53</v>
      </c>
      <c r="J63" s="10" t="s">
        <v>295</v>
      </c>
      <c r="K63" s="10" t="s">
        <v>399</v>
      </c>
      <c r="L63" s="15" t="n">
        <v>1665279344220</v>
      </c>
      <c r="M63" s="16" t="n">
        <v>46232</v>
      </c>
      <c r="N63" s="10" t="n">
        <v>-14.4</v>
      </c>
      <c r="O63" s="16" t="n">
        <v>46323</v>
      </c>
      <c r="P63" s="10" t="s">
        <v>297</v>
      </c>
      <c r="Q63" s="10" t="n">
        <v>-0.33</v>
      </c>
      <c r="R63" s="10" t="n">
        <v>6.55</v>
      </c>
      <c r="S63" s="10" t="n">
        <v>9.9</v>
      </c>
      <c r="T63" s="10" t="n">
        <v>13.09</v>
      </c>
      <c r="U63" s="10" t="n">
        <v>8.75</v>
      </c>
      <c r="V63" s="10" t="n">
        <v>14.11</v>
      </c>
      <c r="W63" s="10" t="n">
        <v>-0.51</v>
      </c>
      <c r="X63" s="10" t="n">
        <v>-14.91</v>
      </c>
      <c r="Y63" s="10"/>
      <c r="Z63" s="10"/>
      <c r="AA63" s="10"/>
      <c r="AB63" s="10"/>
      <c r="AC63" s="10" t="n">
        <v>9.47</v>
      </c>
      <c r="AD63" s="10" t="n">
        <v>-17.61</v>
      </c>
      <c r="AE63" s="10" t="n">
        <v>69.44</v>
      </c>
      <c r="AF63" s="10" t="n">
        <v>8.53</v>
      </c>
      <c r="AG63" s="10" t="n">
        <v>4.58</v>
      </c>
      <c r="AH63" s="10" t="s">
        <v>377</v>
      </c>
      <c r="AI63" s="10" t="n">
        <v>10.38</v>
      </c>
      <c r="AJ63" s="10" t="n">
        <v>9.83</v>
      </c>
      <c r="AK63" s="10" t="n">
        <v>-13.6</v>
      </c>
      <c r="AL63" s="10" t="n">
        <v>28</v>
      </c>
      <c r="AM63" s="10" t="n">
        <v>29.84</v>
      </c>
      <c r="AN63" s="10" t="n">
        <v>29.85</v>
      </c>
      <c r="AO63" s="10" t="n">
        <v>17.63</v>
      </c>
      <c r="AP63" s="10" t="n">
        <v>-1.61</v>
      </c>
      <c r="AQ63" s="10" t="n">
        <v>1.27</v>
      </c>
      <c r="AR63" s="10" t="n">
        <v>300</v>
      </c>
      <c r="AS63" s="16" t="n">
        <v>46275</v>
      </c>
      <c r="AT63" s="15" t="n">
        <v>228246994944</v>
      </c>
      <c r="AU63" s="15" t="n">
        <v>186586005504</v>
      </c>
      <c r="AV63" s="10" t="n">
        <v>81.75</v>
      </c>
      <c r="AW63" s="15" t="n">
        <v>68097998848</v>
      </c>
      <c r="AX63" s="15" t="n">
        <v>21553625088</v>
      </c>
      <c r="AY63" s="10" t="n">
        <v>9.44</v>
      </c>
      <c r="AZ63" s="15" t="n">
        <v>-22058000384</v>
      </c>
      <c r="BA63" s="10" t="n">
        <v>25.23</v>
      </c>
      <c r="BB63" s="10" t="n">
        <v>48.52</v>
      </c>
      <c r="BC63" s="17" t="n">
        <f aca="false">IF(AND(ISNUMBER(O63),ISNUMBER(AS63)),O63-AS63,"")</f>
        <v>48</v>
      </c>
      <c r="BD63" s="10" t="n">
        <f aca="false">IF(OR(ISNUMBER(SEARCH("ETF",H63)),AND(F63="",AO63="")),1,0)</f>
        <v>0</v>
      </c>
      <c r="BE63" s="17" t="n">
        <f aca="false">IF(ISNUMBER(L63),IF(L63&gt;=Parameters!$B$3,2,IF(L63&gt;=Parameters!$B$4,1,0)),0)+IF(ISNUMBER(AW63),IF(AW63&gt;0,IF(AND(ISNUMBER(AM63),AM63&gt;=Parameters!$B$5),2,1),0),0)+IF(ISNUMBER(AX63),IF(AND(AX63&gt;0,ISNUMBER(AY63),AY63&gt;=Parameters!$B$6),1,0),0)+IF(ISNUMBER(AO63),IF(AND(AO63&gt;0,AO63&lt;=Parameters!$B$7),1,0),0)+IF(ISNUMBER(F63),IF(F63&gt;=Parameters!$B$8,1,0),0)</f>
        <v>6</v>
      </c>
      <c r="BF63" s="10" t="str">
        <f aca="false">IF(BD63=1,"ETF",IF(OR(AND(ISNUMBER(L63),L63&gt;=Parameters!$B$10),BE63&gt;=Parameters!$B$9),"Established","Early"))</f>
        <v>Established</v>
      </c>
      <c r="BG63" s="10" t="n">
        <f aca="false">IF(LEFT(AH63,6)="Golden",2,IF(LEFT(AH63,5)="Death",-2,0))</f>
        <v>-2</v>
      </c>
      <c r="BH63" s="10" t="n">
        <f aca="false">IF(ISNUMBER(AG63),IF(AG63&gt;Parameters!$B$12,2,IF(AG63&gt;0,1,IF(AG63&gt;=Parameters!$B$13,-1,-2))),0)</f>
        <v>1</v>
      </c>
      <c r="BI63" s="10" t="n">
        <f aca="false">IF(ISNUMBER(AF63),IF(AND(AF63&gt;=Parameters!$B$14,AF63&lt;=Parameters!$B$15),1,IF(OR(AF63&gt;Parameters!$B$16,AF63&lt;Parameters!$B$17),-1,0)),0)</f>
        <v>0</v>
      </c>
      <c r="BJ63" s="10" t="n">
        <f aca="false">IF(ISNUMBER(AE63),IF(AND(AE63&gt;=Parameters!$B$18,AE63&lt;=Parameters!$B$19),1,IF(OR(AE63&gt;Parameters!$B$20,AE63&lt;Parameters!$B$21),-1,0)),0)</f>
        <v>0</v>
      </c>
      <c r="BK63" s="10" t="n">
        <f aca="false">IF(ISNUMBER(E63),IF(E63&gt;Parameters!$B$22,1,IF(E63&lt;Parameters!$B$23,-1,0)),0)</f>
        <v>1</v>
      </c>
      <c r="BL63" s="10" t="n">
        <f aca="false">IF(ISNUMBER(C63),IF(C63&gt;=Parameters!$B$24,1,IF(C63&lt;=Parameters!$B$25,-1,0)),0)</f>
        <v>0</v>
      </c>
      <c r="BM63" s="10" t="n">
        <f aca="false">IF(ISNUMBER(AJ63),IF(AND(AJ63&gt;Parameters!$B$26,ISNUMBER(U63)),IF(U63&lt;0,-1,1),0),0)</f>
        <v>0</v>
      </c>
      <c r="BN63" s="10" t="n">
        <f aca="false">IF(ISNUMBER(AD63),IF(AD63&gt;Parameters!$B$27,1,IF(AD63&lt;Parameters!$B$28,-1,0)),0)</f>
        <v>0</v>
      </c>
      <c r="BO63" s="17" t="n">
        <f aca="false">BG63+BH63+BI63+BJ63+BK63+BL63+BM63+BN63</f>
        <v>0</v>
      </c>
      <c r="BP63" s="10" t="n">
        <f aca="false">IF(ISNUMBER(F63),IF(F63&gt;=Parameters!$B$30,2,IF(F63&gt;=Parameters!$B$31,1,IF(F63&lt;=Parameters!$B$32,-1,0))),0)</f>
        <v>1</v>
      </c>
      <c r="BQ63" s="10" t="n">
        <f aca="false">IF(ISNUMBER(AK63),IF(AK63&gt;Parameters!$B$33,1,IF(AK63&lt;0,-1,0)),0)</f>
        <v>-1</v>
      </c>
      <c r="BR63" s="10" t="n">
        <f aca="false">IF(ISNUMBER(AL63),IF(AL63&gt;Parameters!$B$34,1,IF(AL63&lt;0,-1,0)),0)</f>
        <v>1</v>
      </c>
      <c r="BS63" s="10" t="n">
        <f aca="false">IF(ISNUMBER(AP63),IF(AND(AP63&gt;0,AP63&lt;=Parameters!$B$35),1,IF(AP63&gt;Parameters!$B$36,-1,0)),0)</f>
        <v>0</v>
      </c>
      <c r="BT63" s="10" t="n">
        <f aca="false">IF(ISNUMBER(AY63),IF(AY63&gt;Parameters!$B$37,1,IF(AY63&lt;0,-1,0)),0)</f>
        <v>0</v>
      </c>
      <c r="BU63" s="10" t="n">
        <f aca="false">IF(ISNUMBER(AZ63),IF(AZ63&gt;0,1,0),0)</f>
        <v>0</v>
      </c>
      <c r="BV63" s="10" t="n">
        <f aca="false">IF(ISNUMBER(AL63),IF(AL63&gt;Parameters!$B$39,2,IF(AL63&gt;Parameters!$B$40,1,IF(AL63&lt;0,-2,IF(AL63&lt;Parameters!$B$41,-1,0)))),0)</f>
        <v>1</v>
      </c>
      <c r="BW63" s="10" t="n">
        <f aca="false">IF(ISNUMBER(AV63),IF(AV63&gt;Parameters!$B$42,1,IF(AV63&lt;Parameters!$B$43,-1,0)),0)</f>
        <v>1</v>
      </c>
      <c r="BX63" s="10" t="n">
        <f aca="false">IF(AND(ISNUMBER(AX63),AX63&gt;0),1,IF(AND(ISNUMBER(AY63),AY63&lt;Parameters!$B$44),-1,0))</f>
        <v>1</v>
      </c>
      <c r="BY63" s="10" t="n">
        <f aca="false">IF(ISNUMBER(AW63),IF(AW63&gt;0,1,0),0)</f>
        <v>1</v>
      </c>
      <c r="BZ63" s="10" t="n">
        <f aca="false">IF(ISNUMBER(AQ63),IF(AQ63&gt;Parameters!$B$46,-2,IF(AQ63&gt;Parameters!$B$45,-1,0)),0)</f>
        <v>0</v>
      </c>
      <c r="CA63" s="10" t="n">
        <f aca="false">IF(ISNUMBER(F63),IF(F63&gt;=Parameters!$B$47,1,IF(F63&lt;=Parameters!$B$48,-1,0)),0)</f>
        <v>1</v>
      </c>
      <c r="CB63" s="17" t="n">
        <f aca="false">IF(BF63="Established",BP63+BQ63+BR63+BS63+BT63+BU63,IF(BF63="Early",BV63+BW63+BX63+BY63+BZ63+CA63,0))</f>
        <v>1</v>
      </c>
      <c r="CC63" s="18" t="n">
        <f aca="false">IF(BF63="Established",BO63+CB63,IF(BF63="Early",BO63+Parameters!$B$50*CB63,BO63))</f>
        <v>1</v>
      </c>
      <c r="CD63" s="17" t="n">
        <f aca="false">IF(BF63="Established",IF(CC63&gt;=Parameters!$B$51,6,IF(CC63&gt;=Parameters!$B$52,5,IF(CC63&gt;=Parameters!$B$53,4,IF(CC63&gt;=Parameters!$B$54,3,IF(CC63&gt;=Parameters!$B$55,2,1))))),IF(BF63="Early",IF(CC63&gt;=Parameters!$B$56,5,IF(CC63&gt;=Parameters!$B$57,4,IF(CC63&gt;=Parameters!$B$58,3,IF(CC63&gt;=Parameters!$B$59,2,1)))),IF(CC63&gt;=Parameters!$B$60,6,IF(CC63&gt;=Parameters!$B$61,5,IF(CC63&gt;=Parameters!$B$62,4,IF(CC63&gt;=Parameters!$B$63,3,IF(CC63&gt;=Parameters!$B$64,2,1)))))))</f>
        <v>3</v>
      </c>
      <c r="CE63" s="10" t="n">
        <f aca="false">IF(AND(ISNUMBER(AR63),AR63&lt;Parameters!$B$66),1,0)</f>
        <v>0</v>
      </c>
      <c r="CF63" s="10" t="n">
        <f aca="false">IF(AND(LEFT(AH63,5)="Death",ISNUMBER(AG63)),IF(BF63="Early",IF(AND(AG63&lt;Parameters!$B$70,ISNUMBER(U63),U63&lt;Parameters!$B$71),1,0),IF(AND(AG63&lt;Parameters!$B$67,OR(AND(ISNUMBER(U63),U63&lt;Parameters!$B$68),AND(ISNUMBER(V63),V63&lt;Parameters!$B$69))),1,0)),0)</f>
        <v>0</v>
      </c>
      <c r="CG63" s="10" t="n">
        <f aca="false">IF(AND(ISNUMBER(AG63),AG63&lt;0),1,0)</f>
        <v>0</v>
      </c>
      <c r="CH63" s="10" t="n">
        <f aca="false">IF(OR(AND(ISNUMBER(U63),U63&gt;Parameters!$B$74),AND(ISNUMBER(AF63),AF63&gt;Parameters!$B$75),AND(ISNUMBER(AE63),AE63&gt;Parameters!$B$76)),1,0)</f>
        <v>0</v>
      </c>
      <c r="CI63" s="10" t="n">
        <f aca="false">IF(AND(ISNUMBER(BC63),BC63&gt;=0,BC63&lt;=Parameters!$B$77),1,0)</f>
        <v>0</v>
      </c>
      <c r="CJ63" s="17" t="n">
        <f aca="false">IF(CF63=1,1,MIN(CD63,IF(CE63=1,3,6),IF(CG63=1,IF(BF63="Early",Parameters!$B$73,Parameters!$B$72),6),IF(CH63=1,3,6),IF(CI63=1,3,6)))</f>
        <v>3</v>
      </c>
      <c r="CK63" s="10" t="str">
        <f aca="false">INDEX(Parameters!$F$2:$F$7,CJ63)</f>
        <v>Hold</v>
      </c>
      <c r="CL63" s="10" t="str">
        <f aca="false">IF(CF63=1,"Hard sell: breakdown; ","")&amp;IF(CE63=1,"Insufficient history; ","")&amp;IF(AND(CF63=0,CG63=1),"Below 200D; ","")&amp;IF(CH63=1,"Extended - wait for pullback; ","")&amp;IF(CI63=1,"Earnings within "&amp;Parameters!$B$77&amp;"d; ","")</f>
        <v/>
      </c>
    </row>
    <row r="64" customFormat="false" ht="15" hidden="false" customHeight="false" outlineLevel="0" collapsed="false">
      <c r="A64" s="10" t="s">
        <v>460</v>
      </c>
      <c r="B64" s="10" t="n">
        <v>5</v>
      </c>
      <c r="C64" s="10" t="n">
        <v>4</v>
      </c>
      <c r="D64" s="10" t="n">
        <v>34</v>
      </c>
      <c r="E64" s="10" t="n">
        <v>4</v>
      </c>
      <c r="F64" s="10" t="n">
        <v>5</v>
      </c>
      <c r="G64" s="10" t="s">
        <v>461</v>
      </c>
      <c r="H64" s="10" t="s">
        <v>314</v>
      </c>
      <c r="I64" s="10" t="n">
        <v>132.41</v>
      </c>
      <c r="J64" s="10" t="s">
        <v>295</v>
      </c>
      <c r="K64" s="10" t="s">
        <v>296</v>
      </c>
      <c r="L64" s="15" t="n">
        <v>135549646820</v>
      </c>
      <c r="M64" s="16" t="n">
        <v>46225</v>
      </c>
      <c r="N64" s="10" t="n">
        <v>4.65</v>
      </c>
      <c r="O64" s="16" t="n">
        <v>46316</v>
      </c>
      <c r="P64" s="10" t="s">
        <v>297</v>
      </c>
      <c r="Q64" s="10" t="n">
        <v>0.99</v>
      </c>
      <c r="R64" s="10" t="n">
        <v>-2.31</v>
      </c>
      <c r="S64" s="10" t="n">
        <v>-3.16</v>
      </c>
      <c r="T64" s="10" t="n">
        <v>5.25</v>
      </c>
      <c r="U64" s="10" t="n">
        <v>3.81</v>
      </c>
      <c r="V64" s="10" t="n">
        <v>24.84</v>
      </c>
      <c r="W64" s="10" t="n">
        <v>14.51</v>
      </c>
      <c r="X64" s="10" t="n">
        <v>-29.09</v>
      </c>
      <c r="Y64" s="10"/>
      <c r="Z64" s="10"/>
      <c r="AA64" s="10"/>
      <c r="AB64" s="10"/>
      <c r="AC64" s="10" t="n">
        <v>20.2</v>
      </c>
      <c r="AD64" s="10" t="n">
        <v>-32</v>
      </c>
      <c r="AE64" s="10" t="n">
        <v>52.59</v>
      </c>
      <c r="AF64" s="10" t="n">
        <v>11.24</v>
      </c>
      <c r="AG64" s="10" t="n">
        <v>12.08</v>
      </c>
      <c r="AH64" s="10" t="s">
        <v>389</v>
      </c>
      <c r="AI64" s="10" t="n">
        <v>-1.21</v>
      </c>
      <c r="AJ64" s="10" t="n">
        <v>-32.28</v>
      </c>
      <c r="AK64" s="10" t="n">
        <v>-22.6</v>
      </c>
      <c r="AL64" s="10" t="n">
        <v>24</v>
      </c>
      <c r="AM64" s="10" t="n">
        <v>11.34</v>
      </c>
      <c r="AN64" s="10" t="n">
        <v>14.24</v>
      </c>
      <c r="AO64" s="10" t="n">
        <v>26.9</v>
      </c>
      <c r="AP64" s="10" t="n">
        <v>-3.82</v>
      </c>
      <c r="AQ64" s="10" t="n">
        <v>2.83</v>
      </c>
      <c r="AR64" s="10" t="n">
        <v>300</v>
      </c>
      <c r="AS64" s="16" t="n">
        <v>46275</v>
      </c>
      <c r="AT64" s="15" t="n">
        <v>14732000256</v>
      </c>
      <c r="AU64" s="15" t="n">
        <v>11015000064</v>
      </c>
      <c r="AV64" s="10" t="n">
        <v>74.77</v>
      </c>
      <c r="AW64" s="15" t="n">
        <v>1670000000</v>
      </c>
      <c r="AX64" s="15" t="n">
        <v>5149374976</v>
      </c>
      <c r="AY64" s="10" t="n">
        <v>34.95</v>
      </c>
      <c r="AZ64" s="15" t="n">
        <v>-3789000192</v>
      </c>
      <c r="BA64" s="10" t="n">
        <v>62.98</v>
      </c>
      <c r="BB64" s="10" t="n">
        <v>45.08</v>
      </c>
      <c r="BC64" s="17" t="n">
        <f aca="false">IF(AND(ISNUMBER(O64),ISNUMBER(AS64)),O64-AS64,"")</f>
        <v>41</v>
      </c>
      <c r="BD64" s="10" t="n">
        <f aca="false">IF(OR(ISNUMBER(SEARCH("ETF",H64)),AND(F64="",AO64="")),1,0)</f>
        <v>0</v>
      </c>
      <c r="BE64" s="17" t="n">
        <f aca="false">IF(ISNUMBER(L64),IF(L64&gt;=Parameters!$B$3,2,IF(L64&gt;=Parameters!$B$4,1,0)),0)+IF(ISNUMBER(AW64),IF(AW64&gt;0,IF(AND(ISNUMBER(AM64),AM64&gt;=Parameters!$B$5),2,1),0),0)+IF(ISNUMBER(AX64),IF(AND(AX64&gt;0,ISNUMBER(AY64),AY64&gt;=Parameters!$B$6),1,0),0)+IF(ISNUMBER(AO64),IF(AND(AO64&gt;0,AO64&lt;=Parameters!$B$7),1,0),0)+IF(ISNUMBER(F64),IF(F64&gt;=Parameters!$B$8,1,0),0)</f>
        <v>6</v>
      </c>
      <c r="BF64" s="10" t="str">
        <f aca="false">IF(BD64=1,"ETF",IF(OR(AND(ISNUMBER(L64),L64&gt;=Parameters!$B$10),BE64&gt;=Parameters!$B$9),"Established","Early"))</f>
        <v>Established</v>
      </c>
      <c r="BG64" s="10" t="n">
        <f aca="false">IF(LEFT(AH64,6)="Golden",2,IF(LEFT(AH64,5)="Death",-2,0))</f>
        <v>2</v>
      </c>
      <c r="BH64" s="10" t="n">
        <f aca="false">IF(ISNUMBER(AG64),IF(AG64&gt;Parameters!$B$12,2,IF(AG64&gt;0,1,IF(AG64&gt;=Parameters!$B$13,-1,-2))),0)</f>
        <v>2</v>
      </c>
      <c r="BI64" s="10" t="n">
        <f aca="false">IF(ISNUMBER(AF64),IF(AND(AF64&gt;=Parameters!$B$14,AF64&lt;=Parameters!$B$15),1,IF(OR(AF64&gt;Parameters!$B$16,AF64&lt;Parameters!$B$17),-1,0)),0)</f>
        <v>0</v>
      </c>
      <c r="BJ64" s="10" t="n">
        <f aca="false">IF(ISNUMBER(AE64),IF(AND(AE64&gt;=Parameters!$B$18,AE64&lt;=Parameters!$B$19),1,IF(OR(AE64&gt;Parameters!$B$20,AE64&lt;Parameters!$B$21),-1,0)),0)</f>
        <v>1</v>
      </c>
      <c r="BK64" s="10" t="n">
        <f aca="false">IF(ISNUMBER(E64),IF(E64&gt;Parameters!$B$22,1,IF(E64&lt;Parameters!$B$23,-1,0)),0)</f>
        <v>1</v>
      </c>
      <c r="BL64" s="10" t="n">
        <f aca="false">IF(ISNUMBER(C64),IF(C64&gt;=Parameters!$B$24,1,IF(C64&lt;=Parameters!$B$25,-1,0)),0)</f>
        <v>0</v>
      </c>
      <c r="BM64" s="10" t="n">
        <f aca="false">IF(ISNUMBER(AJ64),IF(AND(AJ64&gt;Parameters!$B$26,ISNUMBER(U64)),IF(U64&lt;0,-1,1),0),0)</f>
        <v>0</v>
      </c>
      <c r="BN64" s="10" t="n">
        <f aca="false">IF(ISNUMBER(AD64),IF(AD64&gt;Parameters!$B$27,1,IF(AD64&lt;Parameters!$B$28,-1,0)),0)</f>
        <v>-1</v>
      </c>
      <c r="BO64" s="17" t="n">
        <f aca="false">BG64+BH64+BI64+BJ64+BK64+BL64+BM64+BN64</f>
        <v>5</v>
      </c>
      <c r="BP64" s="10" t="n">
        <f aca="false">IF(ISNUMBER(F64),IF(F64&gt;=Parameters!$B$30,2,IF(F64&gt;=Parameters!$B$31,1,IF(F64&lt;=Parameters!$B$32,-1,0))),0)</f>
        <v>0</v>
      </c>
      <c r="BQ64" s="10" t="n">
        <f aca="false">IF(ISNUMBER(AK64),IF(AK64&gt;Parameters!$B$33,1,IF(AK64&lt;0,-1,0)),0)</f>
        <v>-1</v>
      </c>
      <c r="BR64" s="10" t="n">
        <f aca="false">IF(ISNUMBER(AL64),IF(AL64&gt;Parameters!$B$34,1,IF(AL64&lt;0,-1,0)),0)</f>
        <v>1</v>
      </c>
      <c r="BS64" s="10" t="n">
        <f aca="false">IF(ISNUMBER(AP64),IF(AND(AP64&gt;0,AP64&lt;=Parameters!$B$35),1,IF(AP64&gt;Parameters!$B$36,-1,0)),0)</f>
        <v>0</v>
      </c>
      <c r="BT64" s="10" t="n">
        <f aca="false">IF(ISNUMBER(AY64),IF(AY64&gt;Parameters!$B$37,1,IF(AY64&lt;0,-1,0)),0)</f>
        <v>1</v>
      </c>
      <c r="BU64" s="10" t="n">
        <f aca="false">IF(ISNUMBER(AZ64),IF(AZ64&gt;0,1,0),0)</f>
        <v>0</v>
      </c>
      <c r="BV64" s="10" t="n">
        <f aca="false">IF(ISNUMBER(AL64),IF(AL64&gt;Parameters!$B$39,2,IF(AL64&gt;Parameters!$B$40,1,IF(AL64&lt;0,-2,IF(AL64&lt;Parameters!$B$41,-1,0)))),0)</f>
        <v>1</v>
      </c>
      <c r="BW64" s="10" t="n">
        <f aca="false">IF(ISNUMBER(AV64),IF(AV64&gt;Parameters!$B$42,1,IF(AV64&lt;Parameters!$B$43,-1,0)),0)</f>
        <v>1</v>
      </c>
      <c r="BX64" s="10" t="n">
        <f aca="false">IF(AND(ISNUMBER(AX64),AX64&gt;0),1,IF(AND(ISNUMBER(AY64),AY64&lt;Parameters!$B$44),-1,0))</f>
        <v>1</v>
      </c>
      <c r="BY64" s="10" t="n">
        <f aca="false">IF(ISNUMBER(AW64),IF(AW64&gt;0,1,0),0)</f>
        <v>1</v>
      </c>
      <c r="BZ64" s="10" t="n">
        <f aca="false">IF(ISNUMBER(AQ64),IF(AQ64&gt;Parameters!$B$46,-2,IF(AQ64&gt;Parameters!$B$45,-1,0)),0)</f>
        <v>0</v>
      </c>
      <c r="CA64" s="10" t="n">
        <f aca="false">IF(ISNUMBER(F64),IF(F64&gt;=Parameters!$B$47,1,IF(F64&lt;=Parameters!$B$48,-1,0)),0)</f>
        <v>0</v>
      </c>
      <c r="CB64" s="17" t="n">
        <f aca="false">IF(BF64="Established",BP64+BQ64+BR64+BS64+BT64+BU64,IF(BF64="Early",BV64+BW64+BX64+BY64+BZ64+CA64,0))</f>
        <v>1</v>
      </c>
      <c r="CC64" s="18" t="n">
        <f aca="false">IF(BF64="Established",BO64+CB64,IF(BF64="Early",BO64+Parameters!$B$50*CB64,BO64))</f>
        <v>6</v>
      </c>
      <c r="CD64" s="17" t="n">
        <f aca="false">IF(BF64="Established",IF(CC64&gt;=Parameters!$B$51,6,IF(CC64&gt;=Parameters!$B$52,5,IF(CC64&gt;=Parameters!$B$53,4,IF(CC64&gt;=Parameters!$B$54,3,IF(CC64&gt;=Parameters!$B$55,2,1))))),IF(BF64="Early",IF(CC64&gt;=Parameters!$B$56,5,IF(CC64&gt;=Parameters!$B$57,4,IF(CC64&gt;=Parameters!$B$58,3,IF(CC64&gt;=Parameters!$B$59,2,1)))),IF(CC64&gt;=Parameters!$B$60,6,IF(CC64&gt;=Parameters!$B$61,5,IF(CC64&gt;=Parameters!$B$62,4,IF(CC64&gt;=Parameters!$B$63,3,IF(CC64&gt;=Parameters!$B$64,2,1)))))))</f>
        <v>4</v>
      </c>
      <c r="CE64" s="10" t="n">
        <f aca="false">IF(AND(ISNUMBER(AR64),AR64&lt;Parameters!$B$66),1,0)</f>
        <v>0</v>
      </c>
      <c r="CF64" s="10" t="n">
        <f aca="false">IF(AND(LEFT(AH64,5)="Death",ISNUMBER(AG64)),IF(BF64="Early",IF(AND(AG64&lt;Parameters!$B$70,ISNUMBER(U64),U64&lt;Parameters!$B$71),1,0),IF(AND(AG64&lt;Parameters!$B$67,OR(AND(ISNUMBER(U64),U64&lt;Parameters!$B$68),AND(ISNUMBER(V64),V64&lt;Parameters!$B$69))),1,0)),0)</f>
        <v>0</v>
      </c>
      <c r="CG64" s="10" t="n">
        <f aca="false">IF(AND(ISNUMBER(AG64),AG64&lt;0),1,0)</f>
        <v>0</v>
      </c>
      <c r="CH64" s="10" t="n">
        <f aca="false">IF(OR(AND(ISNUMBER(U64),U64&gt;Parameters!$B$74),AND(ISNUMBER(AF64),AF64&gt;Parameters!$B$75),AND(ISNUMBER(AE64),AE64&gt;Parameters!$B$76)),1,0)</f>
        <v>0</v>
      </c>
      <c r="CI64" s="10" t="n">
        <f aca="false">IF(AND(ISNUMBER(BC64),BC64&gt;=0,BC64&lt;=Parameters!$B$77),1,0)</f>
        <v>0</v>
      </c>
      <c r="CJ64" s="17" t="n">
        <f aca="false">IF(CF64=1,1,MIN(CD64,IF(CE64=1,3,6),IF(CG64=1,IF(BF64="Early",Parameters!$B$73,Parameters!$B$72),6),IF(CH64=1,3,6),IF(CI64=1,3,6)))</f>
        <v>4</v>
      </c>
      <c r="CK64" s="10" t="str">
        <f aca="false">INDEX(Parameters!$F$2:$F$7,CJ64)</f>
        <v>Buy with Risk</v>
      </c>
      <c r="CL64" s="10" t="str">
        <f aca="false">IF(CF64=1,"Hard sell: breakdown; ","")&amp;IF(CE64=1,"Insufficient history; ","")&amp;IF(AND(CF64=0,CG64=1),"Below 200D; ","")&amp;IF(CH64=1,"Extended - wait for pullback; ","")&amp;IF(CI64=1,"Earnings within "&amp;Parameters!$B$77&amp;"d; ","")</f>
        <v/>
      </c>
    </row>
    <row r="65" customFormat="false" ht="15" hidden="false" customHeight="false" outlineLevel="0" collapsed="false">
      <c r="A65" s="10" t="s">
        <v>462</v>
      </c>
      <c r="B65" s="10" t="n">
        <v>4</v>
      </c>
      <c r="C65" s="10" t="n">
        <v>3</v>
      </c>
      <c r="D65" s="10" t="n">
        <v>15.5</v>
      </c>
      <c r="E65" s="10" t="n">
        <v>3.2</v>
      </c>
      <c r="F65" s="10" t="n">
        <v>8</v>
      </c>
      <c r="G65" s="10" t="s">
        <v>463</v>
      </c>
      <c r="H65" s="10" t="s">
        <v>314</v>
      </c>
      <c r="I65" s="10" t="n">
        <v>156.62</v>
      </c>
      <c r="J65" s="10" t="s">
        <v>295</v>
      </c>
      <c r="K65" s="10" t="s">
        <v>296</v>
      </c>
      <c r="L65" s="15" t="n">
        <v>465570527730</v>
      </c>
      <c r="M65" s="16" t="n">
        <v>46183</v>
      </c>
      <c r="N65" s="10" t="n">
        <v>7.65</v>
      </c>
      <c r="O65" s="16" t="n">
        <v>46274</v>
      </c>
      <c r="P65" s="10" t="s">
        <v>297</v>
      </c>
      <c r="Q65" s="10" t="n">
        <v>-3.1</v>
      </c>
      <c r="R65" s="10" t="n">
        <v>-0.55</v>
      </c>
      <c r="S65" s="10" t="n">
        <v>7.46</v>
      </c>
      <c r="T65" s="10" t="n">
        <v>5.21</v>
      </c>
      <c r="U65" s="10" t="n">
        <v>7.66</v>
      </c>
      <c r="V65" s="10" t="n">
        <v>-22.18</v>
      </c>
      <c r="W65" s="10" t="n">
        <v>-3.98</v>
      </c>
      <c r="X65" s="10" t="n">
        <v>-35.15</v>
      </c>
      <c r="Y65" s="10"/>
      <c r="Z65" s="10"/>
      <c r="AA65" s="10"/>
      <c r="AB65" s="10"/>
      <c r="AC65" s="10" t="n">
        <v>-26.82</v>
      </c>
      <c r="AD65" s="10" t="n">
        <v>-54.7</v>
      </c>
      <c r="AE65" s="10" t="n">
        <v>56.91</v>
      </c>
      <c r="AF65" s="10" t="n">
        <v>11.4</v>
      </c>
      <c r="AG65" s="10" t="n">
        <v>-6.72</v>
      </c>
      <c r="AH65" s="10" t="s">
        <v>377</v>
      </c>
      <c r="AI65" s="10" t="n">
        <v>1.3</v>
      </c>
      <c r="AJ65" s="10" t="n">
        <v>10.78</v>
      </c>
      <c r="AK65" s="10" t="n">
        <v>25.6</v>
      </c>
      <c r="AL65" s="10" t="n">
        <v>20.6</v>
      </c>
      <c r="AM65" s="10" t="n">
        <v>25.21</v>
      </c>
      <c r="AN65" s="10" t="n">
        <v>53.38</v>
      </c>
      <c r="AO65" s="10" t="n">
        <v>15.03</v>
      </c>
      <c r="AP65" s="10" t="n">
        <v>15.03</v>
      </c>
      <c r="AQ65" s="10" t="n">
        <v>2.79</v>
      </c>
      <c r="AR65" s="10" t="n">
        <v>300</v>
      </c>
      <c r="AS65" s="16" t="n">
        <v>46275</v>
      </c>
      <c r="AT65" s="15" t="n">
        <v>67356999680</v>
      </c>
      <c r="AU65" s="15" t="n">
        <v>44336001024</v>
      </c>
      <c r="AV65" s="10" t="n">
        <v>65.82</v>
      </c>
      <c r="AW65" s="15" t="n">
        <v>16984000512</v>
      </c>
      <c r="AX65" s="15" t="n">
        <v>-24536750080</v>
      </c>
      <c r="AY65" s="10" t="n">
        <v>-36.43</v>
      </c>
      <c r="AZ65" s="15" t="n">
        <v>-135537995776</v>
      </c>
      <c r="BA65" s="10" t="n">
        <v>36.79</v>
      </c>
      <c r="BB65" s="10" t="n">
        <v>18.22</v>
      </c>
      <c r="BC65" s="17" t="n">
        <f aca="false">IF(AND(ISNUMBER(O65),ISNUMBER(AS65)),O65-AS65,"")</f>
        <v>-1</v>
      </c>
      <c r="BD65" s="10" t="n">
        <f aca="false">IF(OR(ISNUMBER(SEARCH("ETF",H65)),AND(F65="",AO65="")),1,0)</f>
        <v>0</v>
      </c>
      <c r="BE65" s="17" t="n">
        <f aca="false">IF(ISNUMBER(L65),IF(L65&gt;=Parameters!$B$3,2,IF(L65&gt;=Parameters!$B$4,1,0)),0)+IF(ISNUMBER(AW65),IF(AW65&gt;0,IF(AND(ISNUMBER(AM65),AM65&gt;=Parameters!$B$5),2,1),0),0)+IF(ISNUMBER(AX65),IF(AND(AX65&gt;0,ISNUMBER(AY65),AY65&gt;=Parameters!$B$6),1,0),0)+IF(ISNUMBER(AO65),IF(AND(AO65&gt;0,AO65&lt;=Parameters!$B$7),1,0),0)+IF(ISNUMBER(F65),IF(F65&gt;=Parameters!$B$8,1,0),0)</f>
        <v>6</v>
      </c>
      <c r="BF65" s="10" t="str">
        <f aca="false">IF(BD65=1,"ETF",IF(OR(AND(ISNUMBER(L65),L65&gt;=Parameters!$B$10),BE65&gt;=Parameters!$B$9),"Established","Early"))</f>
        <v>Established</v>
      </c>
      <c r="BG65" s="10" t="n">
        <f aca="false">IF(LEFT(AH65,6)="Golden",2,IF(LEFT(AH65,5)="Death",-2,0))</f>
        <v>-2</v>
      </c>
      <c r="BH65" s="10" t="n">
        <f aca="false">IF(ISNUMBER(AG65),IF(AG65&gt;Parameters!$B$12,2,IF(AG65&gt;0,1,IF(AG65&gt;=Parameters!$B$13,-1,-2))),0)</f>
        <v>-1</v>
      </c>
      <c r="BI65" s="10" t="n">
        <f aca="false">IF(ISNUMBER(AF65),IF(AND(AF65&gt;=Parameters!$B$14,AF65&lt;=Parameters!$B$15),1,IF(OR(AF65&gt;Parameters!$B$16,AF65&lt;Parameters!$B$17),-1,0)),0)</f>
        <v>0</v>
      </c>
      <c r="BJ65" s="10" t="n">
        <f aca="false">IF(ISNUMBER(AE65),IF(AND(AE65&gt;=Parameters!$B$18,AE65&lt;=Parameters!$B$19),1,IF(OR(AE65&gt;Parameters!$B$20,AE65&lt;Parameters!$B$21),-1,0)),0)</f>
        <v>1</v>
      </c>
      <c r="BK65" s="10" t="n">
        <f aca="false">IF(ISNUMBER(E65),IF(E65&gt;Parameters!$B$22,1,IF(E65&lt;Parameters!$B$23,-1,0)),0)</f>
        <v>1</v>
      </c>
      <c r="BL65" s="10" t="n">
        <f aca="false">IF(ISNUMBER(C65),IF(C65&gt;=Parameters!$B$24,1,IF(C65&lt;=Parameters!$B$25,-1,0)),0)</f>
        <v>-1</v>
      </c>
      <c r="BM65" s="10" t="n">
        <f aca="false">IF(ISNUMBER(AJ65),IF(AND(AJ65&gt;Parameters!$B$26,ISNUMBER(U65)),IF(U65&lt;0,-1,1),0),0)</f>
        <v>1</v>
      </c>
      <c r="BN65" s="10" t="n">
        <f aca="false">IF(ISNUMBER(AD65),IF(AD65&gt;Parameters!$B$27,1,IF(AD65&lt;Parameters!$B$28,-1,0)),0)</f>
        <v>-1</v>
      </c>
      <c r="BO65" s="17" t="n">
        <f aca="false">BG65+BH65+BI65+BJ65+BK65+BL65+BM65+BN65</f>
        <v>-2</v>
      </c>
      <c r="BP65" s="10" t="n">
        <f aca="false">IF(ISNUMBER(F65),IF(F65&gt;=Parameters!$B$30,2,IF(F65&gt;=Parameters!$B$31,1,IF(F65&lt;=Parameters!$B$32,-1,0))),0)</f>
        <v>2</v>
      </c>
      <c r="BQ65" s="10" t="n">
        <f aca="false">IF(ISNUMBER(AK65),IF(AK65&gt;Parameters!$B$33,1,IF(AK65&lt;0,-1,0)),0)</f>
        <v>1</v>
      </c>
      <c r="BR65" s="10" t="n">
        <f aca="false">IF(ISNUMBER(AL65),IF(AL65&gt;Parameters!$B$34,1,IF(AL65&lt;0,-1,0)),0)</f>
        <v>1</v>
      </c>
      <c r="BS65" s="10" t="n">
        <f aca="false">IF(ISNUMBER(AP65),IF(AND(AP65&gt;0,AP65&lt;=Parameters!$B$35),1,IF(AP65&gt;Parameters!$B$36,-1,0)),0)</f>
        <v>-1</v>
      </c>
      <c r="BT65" s="10" t="n">
        <f aca="false">IF(ISNUMBER(AY65),IF(AY65&gt;Parameters!$B$37,1,IF(AY65&lt;0,-1,0)),0)</f>
        <v>-1</v>
      </c>
      <c r="BU65" s="10" t="n">
        <f aca="false">IF(ISNUMBER(AZ65),IF(AZ65&gt;0,1,0),0)</f>
        <v>0</v>
      </c>
      <c r="BV65" s="10" t="n">
        <f aca="false">IF(ISNUMBER(AL65),IF(AL65&gt;Parameters!$B$39,2,IF(AL65&gt;Parameters!$B$40,1,IF(AL65&lt;0,-2,IF(AL65&lt;Parameters!$B$41,-1,0)))),0)</f>
        <v>1</v>
      </c>
      <c r="BW65" s="10" t="n">
        <f aca="false">IF(ISNUMBER(AV65),IF(AV65&gt;Parameters!$B$42,1,IF(AV65&lt;Parameters!$B$43,-1,0)),0)</f>
        <v>1</v>
      </c>
      <c r="BX65" s="10" t="n">
        <f aca="false">IF(AND(ISNUMBER(AX65),AX65&gt;0),1,IF(AND(ISNUMBER(AY65),AY65&lt;Parameters!$B$44),-1,0))</f>
        <v>-1</v>
      </c>
      <c r="BY65" s="10" t="n">
        <f aca="false">IF(ISNUMBER(AW65),IF(AW65&gt;0,1,0),0)</f>
        <v>1</v>
      </c>
      <c r="BZ65" s="10" t="n">
        <f aca="false">IF(ISNUMBER(AQ65),IF(AQ65&gt;Parameters!$B$46,-2,IF(AQ65&gt;Parameters!$B$45,-1,0)),0)</f>
        <v>0</v>
      </c>
      <c r="CA65" s="10" t="n">
        <f aca="false">IF(ISNUMBER(F65),IF(F65&gt;=Parameters!$B$47,1,IF(F65&lt;=Parameters!$B$48,-1,0)),0)</f>
        <v>1</v>
      </c>
      <c r="CB65" s="17" t="n">
        <f aca="false">IF(BF65="Established",BP65+BQ65+BR65+BS65+BT65+BU65,IF(BF65="Early",BV65+BW65+BX65+BY65+BZ65+CA65,0))</f>
        <v>2</v>
      </c>
      <c r="CC65" s="18" t="n">
        <f aca="false">IF(BF65="Established",BO65+CB65,IF(BF65="Early",BO65+Parameters!$B$50*CB65,BO65))</f>
        <v>0</v>
      </c>
      <c r="CD65" s="17" t="n">
        <f aca="false">IF(BF65="Established",IF(CC65&gt;=Parameters!$B$51,6,IF(CC65&gt;=Parameters!$B$52,5,IF(CC65&gt;=Parameters!$B$53,4,IF(CC65&gt;=Parameters!$B$54,3,IF(CC65&gt;=Parameters!$B$55,2,1))))),IF(BF65="Early",IF(CC65&gt;=Parameters!$B$56,5,IF(CC65&gt;=Parameters!$B$57,4,IF(CC65&gt;=Parameters!$B$58,3,IF(CC65&gt;=Parameters!$B$59,2,1)))),IF(CC65&gt;=Parameters!$B$60,6,IF(CC65&gt;=Parameters!$B$61,5,IF(CC65&gt;=Parameters!$B$62,4,IF(CC65&gt;=Parameters!$B$63,3,IF(CC65&gt;=Parameters!$B$64,2,1)))))))</f>
        <v>3</v>
      </c>
      <c r="CE65" s="10" t="n">
        <f aca="false">IF(AND(ISNUMBER(AR65),AR65&lt;Parameters!$B$66),1,0)</f>
        <v>0</v>
      </c>
      <c r="CF65" s="10" t="n">
        <f aca="false">IF(AND(LEFT(AH65,5)="Death",ISNUMBER(AG65)),IF(BF65="Early",IF(AND(AG65&lt;Parameters!$B$70,ISNUMBER(U65),U65&lt;Parameters!$B$71),1,0),IF(AND(AG65&lt;Parameters!$B$67,OR(AND(ISNUMBER(U65),U65&lt;Parameters!$B$68),AND(ISNUMBER(V65),V65&lt;Parameters!$B$69))),1,0)),0)</f>
        <v>0</v>
      </c>
      <c r="CG65" s="10" t="n">
        <f aca="false">IF(AND(ISNUMBER(AG65),AG65&lt;0),1,0)</f>
        <v>1</v>
      </c>
      <c r="CH65" s="10" t="n">
        <f aca="false">IF(OR(AND(ISNUMBER(U65),U65&gt;Parameters!$B$74),AND(ISNUMBER(AF65),AF65&gt;Parameters!$B$75),AND(ISNUMBER(AE65),AE65&gt;Parameters!$B$76)),1,0)</f>
        <v>0</v>
      </c>
      <c r="CI65" s="10" t="n">
        <f aca="false">IF(AND(ISNUMBER(BC65),BC65&gt;=0,BC65&lt;=Parameters!$B$77),1,0)</f>
        <v>0</v>
      </c>
      <c r="CJ65" s="17" t="n">
        <f aca="false">IF(CF65=1,1,MIN(CD65,IF(CE65=1,3,6),IF(CG65=1,IF(BF65="Early",Parameters!$B$73,Parameters!$B$72),6),IF(CH65=1,3,6),IF(CI65=1,3,6)))</f>
        <v>3</v>
      </c>
      <c r="CK65" s="10" t="str">
        <f aca="false">INDEX(Parameters!$F$2:$F$7,CJ65)</f>
        <v>Hold</v>
      </c>
      <c r="CL65" s="10" t="str">
        <f aca="false">IF(CF65=1,"Hard sell: breakdown; ","")&amp;IF(CE65=1,"Insufficient history; ","")&amp;IF(AND(CF65=0,CG65=1),"Below 200D; ","")&amp;IF(CH65=1,"Extended - wait for pullback; ","")&amp;IF(CI65=1,"Earnings within "&amp;Parameters!$B$77&amp;"d; ","")</f>
        <v>Below 200D; </v>
      </c>
    </row>
    <row r="66" customFormat="false" ht="15" hidden="false" customHeight="false" outlineLevel="0" collapsed="false">
      <c r="A66" s="10" t="s">
        <v>464</v>
      </c>
      <c r="B66" s="10" t="n">
        <v>4</v>
      </c>
      <c r="C66" s="10" t="n">
        <v>4</v>
      </c>
      <c r="D66" s="10" t="n">
        <v>30.5</v>
      </c>
      <c r="E66" s="10" t="n">
        <v>-1.6</v>
      </c>
      <c r="F66" s="10" t="n">
        <v>6</v>
      </c>
      <c r="G66" s="10" t="s">
        <v>465</v>
      </c>
      <c r="H66" s="10" t="s">
        <v>386</v>
      </c>
      <c r="I66" s="10" t="n">
        <v>5.01</v>
      </c>
      <c r="J66" s="10" t="s">
        <v>295</v>
      </c>
      <c r="K66" s="10" t="s">
        <v>366</v>
      </c>
      <c r="L66" s="15" t="n">
        <v>2220691313</v>
      </c>
      <c r="M66" s="16" t="n">
        <v>46240</v>
      </c>
      <c r="N66" s="10" t="n">
        <v>8.33</v>
      </c>
      <c r="O66" s="16" t="n">
        <v>46331</v>
      </c>
      <c r="P66" s="10" t="s">
        <v>297</v>
      </c>
      <c r="Q66" s="10" t="n">
        <v>-0.89</v>
      </c>
      <c r="R66" s="10" t="n">
        <v>0.4</v>
      </c>
      <c r="S66" s="10" t="n">
        <v>-5.91</v>
      </c>
      <c r="T66" s="10" t="n">
        <v>-6.44</v>
      </c>
      <c r="U66" s="10" t="n">
        <v>-10.45</v>
      </c>
      <c r="V66" s="10" t="n">
        <v>-10.29</v>
      </c>
      <c r="W66" s="10" t="n">
        <v>29.92</v>
      </c>
      <c r="X66" s="10" t="n">
        <v>-36.84</v>
      </c>
      <c r="Y66" s="10"/>
      <c r="Z66" s="10"/>
      <c r="AA66" s="10"/>
      <c r="AB66" s="10"/>
      <c r="AC66" s="10" t="n">
        <v>-14.93</v>
      </c>
      <c r="AD66" s="10" t="n">
        <v>-45.49</v>
      </c>
      <c r="AE66" s="10" t="n">
        <v>37.54</v>
      </c>
      <c r="AF66" s="10" t="n">
        <v>-13.35</v>
      </c>
      <c r="AG66" s="10" t="n">
        <v>-8.37</v>
      </c>
      <c r="AH66" s="10" t="s">
        <v>466</v>
      </c>
      <c r="AI66" s="10" t="n">
        <v>-0.01</v>
      </c>
      <c r="AJ66" s="10" t="n">
        <v>29.61</v>
      </c>
      <c r="AK66" s="10" t="n">
        <v>185.2</v>
      </c>
      <c r="AL66" s="10" t="n">
        <v>0.1</v>
      </c>
      <c r="AM66" s="10" t="n">
        <v>2.58</v>
      </c>
      <c r="AN66" s="10" t="n">
        <v>-45.24</v>
      </c>
      <c r="AO66" s="10" t="n">
        <v>21.91</v>
      </c>
      <c r="AP66" s="10" t="n">
        <v>0.2</v>
      </c>
      <c r="AQ66" s="10" t="n">
        <v>14.58</v>
      </c>
      <c r="AR66" s="10" t="n">
        <v>300</v>
      </c>
      <c r="AS66" s="16" t="n">
        <v>46275</v>
      </c>
      <c r="AT66" s="15" t="n">
        <v>2446000128</v>
      </c>
      <c r="AU66" s="15" t="n">
        <v>1286700032</v>
      </c>
      <c r="AV66" s="10" t="n">
        <v>52.6</v>
      </c>
      <c r="AW66" s="15" t="n">
        <v>63200000</v>
      </c>
      <c r="AX66" s="15" t="n">
        <v>353875008</v>
      </c>
      <c r="AY66" s="10" t="n">
        <v>14.47</v>
      </c>
      <c r="AZ66" s="15" t="n">
        <v>-503600128</v>
      </c>
      <c r="BA66" s="10" t="n">
        <v>37.4</v>
      </c>
      <c r="BB66" s="10" t="n">
        <v>24.59</v>
      </c>
      <c r="BC66" s="17" t="n">
        <f aca="false">IF(AND(ISNUMBER(O66),ISNUMBER(AS66)),O66-AS66,"")</f>
        <v>56</v>
      </c>
      <c r="BD66" s="10" t="n">
        <f aca="false">IF(OR(ISNUMBER(SEARCH("ETF",H66)),AND(F66="",AO66="")),1,0)</f>
        <v>0</v>
      </c>
      <c r="BE66" s="17" t="n">
        <f aca="false">IF(ISNUMBER(L66),IF(L66&gt;=Parameters!$B$3,2,IF(L66&gt;=Parameters!$B$4,1,0)),0)+IF(ISNUMBER(AW66),IF(AW66&gt;0,IF(AND(ISNUMBER(AM66),AM66&gt;=Parameters!$B$5),2,1),0),0)+IF(ISNUMBER(AX66),IF(AND(AX66&gt;0,ISNUMBER(AY66),AY66&gt;=Parameters!$B$6),1,0),0)+IF(ISNUMBER(AO66),IF(AND(AO66&gt;0,AO66&lt;=Parameters!$B$7),1,0),0)+IF(ISNUMBER(F66),IF(F66&gt;=Parameters!$B$8,1,0),0)</f>
        <v>3</v>
      </c>
      <c r="BF66" s="10" t="str">
        <f aca="false">IF(BD66=1,"ETF",IF(OR(AND(ISNUMBER(L66),L66&gt;=Parameters!$B$10),BE66&gt;=Parameters!$B$9),"Established","Early"))</f>
        <v>Early</v>
      </c>
      <c r="BG66" s="10" t="n">
        <f aca="false">IF(LEFT(AH66,6)="Golden",2,IF(LEFT(AH66,5)="Death",-2,0))</f>
        <v>2</v>
      </c>
      <c r="BH66" s="10" t="n">
        <f aca="false">IF(ISNUMBER(AG66),IF(AG66&gt;Parameters!$B$12,2,IF(AG66&gt;0,1,IF(AG66&gt;=Parameters!$B$13,-1,-2))),0)</f>
        <v>-1</v>
      </c>
      <c r="BI66" s="10" t="n">
        <f aca="false">IF(ISNUMBER(AF66),IF(AND(AF66&gt;=Parameters!$B$14,AF66&lt;=Parameters!$B$15),1,IF(OR(AF66&gt;Parameters!$B$16,AF66&lt;Parameters!$B$17),-1,0)),0)</f>
        <v>-1</v>
      </c>
      <c r="BJ66" s="10" t="n">
        <f aca="false">IF(ISNUMBER(AE66),IF(AND(AE66&gt;=Parameters!$B$18,AE66&lt;=Parameters!$B$19),1,IF(OR(AE66&gt;Parameters!$B$20,AE66&lt;Parameters!$B$21),-1,0)),0)</f>
        <v>0</v>
      </c>
      <c r="BK66" s="10" t="n">
        <f aca="false">IF(ISNUMBER(E66),IF(E66&gt;Parameters!$B$22,1,IF(E66&lt;Parameters!$B$23,-1,0)),0)</f>
        <v>0</v>
      </c>
      <c r="BL66" s="10" t="n">
        <f aca="false">IF(ISNUMBER(C66),IF(C66&gt;=Parameters!$B$24,1,IF(C66&lt;=Parameters!$B$25,-1,0)),0)</f>
        <v>0</v>
      </c>
      <c r="BM66" s="10" t="n">
        <f aca="false">IF(ISNUMBER(AJ66),IF(AND(AJ66&gt;Parameters!$B$26,ISNUMBER(U66)),IF(U66&lt;0,-1,1),0),0)</f>
        <v>-1</v>
      </c>
      <c r="BN66" s="10" t="n">
        <f aca="false">IF(ISNUMBER(AD66),IF(AD66&gt;Parameters!$B$27,1,IF(AD66&lt;Parameters!$B$28,-1,0)),0)</f>
        <v>-1</v>
      </c>
      <c r="BO66" s="17" t="n">
        <f aca="false">BG66+BH66+BI66+BJ66+BK66+BL66+BM66+BN66</f>
        <v>-2</v>
      </c>
      <c r="BP66" s="10" t="n">
        <f aca="false">IF(ISNUMBER(F66),IF(F66&gt;=Parameters!$B$30,2,IF(F66&gt;=Parameters!$B$31,1,IF(F66&lt;=Parameters!$B$32,-1,0))),0)</f>
        <v>1</v>
      </c>
      <c r="BQ66" s="10" t="n">
        <f aca="false">IF(ISNUMBER(AK66),IF(AK66&gt;Parameters!$B$33,1,IF(AK66&lt;0,-1,0)),0)</f>
        <v>1</v>
      </c>
      <c r="BR66" s="10" t="n">
        <f aca="false">IF(ISNUMBER(AL66),IF(AL66&gt;Parameters!$B$34,1,IF(AL66&lt;0,-1,0)),0)</f>
        <v>0</v>
      </c>
      <c r="BS66" s="10" t="n">
        <f aca="false">IF(ISNUMBER(AP66),IF(AND(AP66&gt;0,AP66&lt;=Parameters!$B$35),1,IF(AP66&gt;Parameters!$B$36,-1,0)),0)</f>
        <v>1</v>
      </c>
      <c r="BT66" s="10" t="n">
        <f aca="false">IF(ISNUMBER(AY66),IF(AY66&gt;Parameters!$B$37,1,IF(AY66&lt;0,-1,0)),0)</f>
        <v>1</v>
      </c>
      <c r="BU66" s="10" t="n">
        <f aca="false">IF(ISNUMBER(AZ66),IF(AZ66&gt;0,1,0),0)</f>
        <v>0</v>
      </c>
      <c r="BV66" s="10" t="n">
        <f aca="false">IF(ISNUMBER(AL66),IF(AL66&gt;Parameters!$B$39,2,IF(AL66&gt;Parameters!$B$40,1,IF(AL66&lt;0,-2,IF(AL66&lt;Parameters!$B$41,-1,0)))),0)</f>
        <v>-1</v>
      </c>
      <c r="BW66" s="10" t="n">
        <f aca="false">IF(ISNUMBER(AV66),IF(AV66&gt;Parameters!$B$42,1,IF(AV66&lt;Parameters!$B$43,-1,0)),0)</f>
        <v>1</v>
      </c>
      <c r="BX66" s="10" t="n">
        <f aca="false">IF(AND(ISNUMBER(AX66),AX66&gt;0),1,IF(AND(ISNUMBER(AY66),AY66&lt;Parameters!$B$44),-1,0))</f>
        <v>1</v>
      </c>
      <c r="BY66" s="10" t="n">
        <f aca="false">IF(ISNUMBER(AW66),IF(AW66&gt;0,1,0),0)</f>
        <v>1</v>
      </c>
      <c r="BZ66" s="10" t="n">
        <f aca="false">IF(ISNUMBER(AQ66),IF(AQ66&gt;Parameters!$B$46,-2,IF(AQ66&gt;Parameters!$B$45,-1,0)),0)</f>
        <v>0</v>
      </c>
      <c r="CA66" s="10" t="n">
        <f aca="false">IF(ISNUMBER(F66),IF(F66&gt;=Parameters!$B$47,1,IF(F66&lt;=Parameters!$B$48,-1,0)),0)</f>
        <v>1</v>
      </c>
      <c r="CB66" s="17" t="n">
        <f aca="false">IF(BF66="Established",BP66+BQ66+BR66+BS66+BT66+BU66,IF(BF66="Early",BV66+BW66+BX66+BY66+BZ66+CA66,0))</f>
        <v>3</v>
      </c>
      <c r="CC66" s="18" t="n">
        <f aca="false">IF(BF66="Established",BO66+CB66,IF(BF66="Early",BO66+Parameters!$B$50*CB66,BO66))</f>
        <v>-0.5</v>
      </c>
      <c r="CD66" s="17" t="n">
        <f aca="false">IF(BF66="Established",IF(CC66&gt;=Parameters!$B$51,6,IF(CC66&gt;=Parameters!$B$52,5,IF(CC66&gt;=Parameters!$B$53,4,IF(CC66&gt;=Parameters!$B$54,3,IF(CC66&gt;=Parameters!$B$55,2,1))))),IF(BF66="Early",IF(CC66&gt;=Parameters!$B$56,5,IF(CC66&gt;=Parameters!$B$57,4,IF(CC66&gt;=Parameters!$B$58,3,IF(CC66&gt;=Parameters!$B$59,2,1)))),IF(CC66&gt;=Parameters!$B$60,6,IF(CC66&gt;=Parameters!$B$61,5,IF(CC66&gt;=Parameters!$B$62,4,IF(CC66&gt;=Parameters!$B$63,3,IF(CC66&gt;=Parameters!$B$64,2,1)))))))</f>
        <v>2</v>
      </c>
      <c r="CE66" s="10" t="n">
        <f aca="false">IF(AND(ISNUMBER(AR66),AR66&lt;Parameters!$B$66),1,0)</f>
        <v>0</v>
      </c>
      <c r="CF66" s="10" t="n">
        <f aca="false">IF(AND(LEFT(AH66,5)="Death",ISNUMBER(AG66)),IF(BF66="Early",IF(AND(AG66&lt;Parameters!$B$70,ISNUMBER(U66),U66&lt;Parameters!$B$71),1,0),IF(AND(AG66&lt;Parameters!$B$67,OR(AND(ISNUMBER(U66),U66&lt;Parameters!$B$68),AND(ISNUMBER(V66),V66&lt;Parameters!$B$69))),1,0)),0)</f>
        <v>0</v>
      </c>
      <c r="CG66" s="10" t="n">
        <f aca="false">IF(AND(ISNUMBER(AG66),AG66&lt;0),1,0)</f>
        <v>1</v>
      </c>
      <c r="CH66" s="10" t="n">
        <f aca="false">IF(OR(AND(ISNUMBER(U66),U66&gt;Parameters!$B$74),AND(ISNUMBER(AF66),AF66&gt;Parameters!$B$75),AND(ISNUMBER(AE66),AE66&gt;Parameters!$B$76)),1,0)</f>
        <v>0</v>
      </c>
      <c r="CI66" s="10" t="n">
        <f aca="false">IF(AND(ISNUMBER(BC66),BC66&gt;=0,BC66&lt;=Parameters!$B$77),1,0)</f>
        <v>0</v>
      </c>
      <c r="CJ66" s="17" t="n">
        <f aca="false">IF(CF66=1,1,MIN(CD66,IF(CE66=1,3,6),IF(CG66=1,IF(BF66="Early",Parameters!$B$73,Parameters!$B$72),6),IF(CH66=1,3,6),IF(CI66=1,3,6)))</f>
        <v>2</v>
      </c>
      <c r="CK66" s="10" t="str">
        <f aca="false">INDEX(Parameters!$F$2:$F$7,CJ66)</f>
        <v>Avoid</v>
      </c>
      <c r="CL66" s="10" t="str">
        <f aca="false">IF(CF66=1,"Hard sell: breakdown; ","")&amp;IF(CE66=1,"Insufficient history; ","")&amp;IF(AND(CF66=0,CG66=1),"Below 200D; ","")&amp;IF(CH66=1,"Extended - wait for pullback; ","")&amp;IF(CI66=1,"Earnings within "&amp;Parameters!$B$77&amp;"d; ","")</f>
        <v>Below 200D; </v>
      </c>
    </row>
    <row r="67" customFormat="false" ht="15" hidden="false" customHeight="false" outlineLevel="0" collapsed="false">
      <c r="A67" s="10" t="s">
        <v>467</v>
      </c>
      <c r="B67" s="10" t="n">
        <v>4</v>
      </c>
      <c r="C67" s="10" t="n">
        <v>4</v>
      </c>
      <c r="D67" s="10" t="n">
        <v>24.6</v>
      </c>
      <c r="E67" s="10" t="n">
        <v>12.7</v>
      </c>
      <c r="F67" s="10" t="n">
        <v>4</v>
      </c>
      <c r="G67" s="10" t="s">
        <v>468</v>
      </c>
      <c r="H67" s="10" t="s">
        <v>317</v>
      </c>
      <c r="I67" s="10" t="n">
        <v>181.75</v>
      </c>
      <c r="J67" s="10" t="s">
        <v>295</v>
      </c>
      <c r="K67" s="10" t="s">
        <v>296</v>
      </c>
      <c r="L67" s="15" t="n">
        <v>188405859226</v>
      </c>
      <c r="M67" s="16" t="n">
        <v>46232</v>
      </c>
      <c r="N67" s="10" t="n">
        <v>-0.45</v>
      </c>
      <c r="O67" s="16" t="n">
        <v>46323</v>
      </c>
      <c r="P67" s="10" t="s">
        <v>297</v>
      </c>
      <c r="Q67" s="10" t="n">
        <v>3.03</v>
      </c>
      <c r="R67" s="10" t="n">
        <v>1.33</v>
      </c>
      <c r="S67" s="10" t="n">
        <v>6.93</v>
      </c>
      <c r="T67" s="10" t="n">
        <v>11.01</v>
      </c>
      <c r="U67" s="10" t="n">
        <v>11.72</v>
      </c>
      <c r="V67" s="10" t="n">
        <v>-4.95</v>
      </c>
      <c r="W67" s="10" t="n">
        <v>35.51</v>
      </c>
      <c r="X67" s="10" t="n">
        <v>14.55</v>
      </c>
      <c r="Y67" s="10"/>
      <c r="Z67" s="10"/>
      <c r="AA67" s="10"/>
      <c r="AB67" s="10"/>
      <c r="AC67" s="10" t="n">
        <v>-9.59</v>
      </c>
      <c r="AD67" s="10" t="n">
        <v>-30.08</v>
      </c>
      <c r="AE67" s="10" t="n">
        <v>65.82</v>
      </c>
      <c r="AF67" s="10" t="n">
        <v>7.73</v>
      </c>
      <c r="AG67" s="10" t="n">
        <v>8.16</v>
      </c>
      <c r="AH67" s="10" t="s">
        <v>357</v>
      </c>
      <c r="AI67" s="10" t="n">
        <v>2.35</v>
      </c>
      <c r="AJ67" s="10" t="n">
        <v>13.54</v>
      </c>
      <c r="AK67" s="10" t="n">
        <v>-24.9</v>
      </c>
      <c r="AL67" s="10" t="n">
        <v>-4</v>
      </c>
      <c r="AM67" s="10" t="n">
        <v>21.01</v>
      </c>
      <c r="AN67" s="10" t="n">
        <v>33.75</v>
      </c>
      <c r="AO67" s="10" t="n">
        <v>17.24</v>
      </c>
      <c r="AP67" s="10" t="n">
        <v>-0.89</v>
      </c>
      <c r="AQ67" s="10" t="n">
        <v>3.17</v>
      </c>
      <c r="AR67" s="10" t="n">
        <v>300</v>
      </c>
      <c r="AS67" s="16" t="n">
        <v>46275</v>
      </c>
      <c r="AT67" s="15" t="n">
        <v>44068999168</v>
      </c>
      <c r="AU67" s="15" t="n">
        <v>23896999936</v>
      </c>
      <c r="AV67" s="10" t="n">
        <v>54.23</v>
      </c>
      <c r="AW67" s="15" t="n">
        <v>9260000256</v>
      </c>
      <c r="AX67" s="15" t="n">
        <v>10241000448</v>
      </c>
      <c r="AY67" s="10" t="n">
        <v>23.24</v>
      </c>
      <c r="AZ67" s="15" t="n">
        <v>-6965999616</v>
      </c>
      <c r="BA67" s="10" t="n">
        <v>48.98</v>
      </c>
      <c r="BB67" s="10" t="n">
        <v>43.32</v>
      </c>
      <c r="BC67" s="17" t="n">
        <f aca="false">IF(AND(ISNUMBER(O67),ISNUMBER(AS67)),O67-AS67,"")</f>
        <v>48</v>
      </c>
      <c r="BD67" s="10" t="n">
        <f aca="false">IF(OR(ISNUMBER(SEARCH("ETF",H67)),AND(F67="",AO67="")),1,0)</f>
        <v>0</v>
      </c>
      <c r="BE67" s="17" t="n">
        <f aca="false">IF(ISNUMBER(L67),IF(L67&gt;=Parameters!$B$3,2,IF(L67&gt;=Parameters!$B$4,1,0)),0)+IF(ISNUMBER(AW67),IF(AW67&gt;0,IF(AND(ISNUMBER(AM67),AM67&gt;=Parameters!$B$5),2,1),0),0)+IF(ISNUMBER(AX67),IF(AND(AX67&gt;0,ISNUMBER(AY67),AY67&gt;=Parameters!$B$6),1,0),0)+IF(ISNUMBER(AO67),IF(AND(AO67&gt;0,AO67&lt;=Parameters!$B$7),1,0),0)+IF(ISNUMBER(F67),IF(F67&gt;=Parameters!$B$8,1,0),0)</f>
        <v>6</v>
      </c>
      <c r="BF67" s="10" t="str">
        <f aca="false">IF(BD67=1,"ETF",IF(OR(AND(ISNUMBER(L67),L67&gt;=Parameters!$B$10),BE67&gt;=Parameters!$B$9),"Established","Early"))</f>
        <v>Established</v>
      </c>
      <c r="BG67" s="10" t="n">
        <f aca="false">IF(LEFT(AH67,6)="Golden",2,IF(LEFT(AH67,5)="Death",-2,0))</f>
        <v>2</v>
      </c>
      <c r="BH67" s="10" t="n">
        <f aca="false">IF(ISNUMBER(AG67),IF(AG67&gt;Parameters!$B$12,2,IF(AG67&gt;0,1,IF(AG67&gt;=Parameters!$B$13,-1,-2))),0)</f>
        <v>1</v>
      </c>
      <c r="BI67" s="10" t="n">
        <f aca="false">IF(ISNUMBER(AF67),IF(AND(AF67&gt;=Parameters!$B$14,AF67&lt;=Parameters!$B$15),1,IF(OR(AF67&gt;Parameters!$B$16,AF67&lt;Parameters!$B$17),-1,0)),0)</f>
        <v>1</v>
      </c>
      <c r="BJ67" s="10" t="n">
        <f aca="false">IF(ISNUMBER(AE67),IF(AND(AE67&gt;=Parameters!$B$18,AE67&lt;=Parameters!$B$19),1,IF(OR(AE67&gt;Parameters!$B$20,AE67&lt;Parameters!$B$21),-1,0)),0)</f>
        <v>0</v>
      </c>
      <c r="BK67" s="10" t="n">
        <f aca="false">IF(ISNUMBER(E67),IF(E67&gt;Parameters!$B$22,1,IF(E67&lt;Parameters!$B$23,-1,0)),0)</f>
        <v>1</v>
      </c>
      <c r="BL67" s="10" t="n">
        <f aca="false">IF(ISNUMBER(C67),IF(C67&gt;=Parameters!$B$24,1,IF(C67&lt;=Parameters!$B$25,-1,0)),0)</f>
        <v>0</v>
      </c>
      <c r="BM67" s="10" t="n">
        <f aca="false">IF(ISNUMBER(AJ67),IF(AND(AJ67&gt;Parameters!$B$26,ISNUMBER(U67)),IF(U67&lt;0,-1,1),0),0)</f>
        <v>1</v>
      </c>
      <c r="BN67" s="10" t="n">
        <f aca="false">IF(ISNUMBER(AD67),IF(AD67&gt;Parameters!$B$27,1,IF(AD67&lt;Parameters!$B$28,-1,0)),0)</f>
        <v>-1</v>
      </c>
      <c r="BO67" s="17" t="n">
        <f aca="false">BG67+BH67+BI67+BJ67+BK67+BL67+BM67+BN67</f>
        <v>5</v>
      </c>
      <c r="BP67" s="10" t="n">
        <f aca="false">IF(ISNUMBER(F67),IF(F67&gt;=Parameters!$B$30,2,IF(F67&gt;=Parameters!$B$31,1,IF(F67&lt;=Parameters!$B$32,-1,0))),0)</f>
        <v>-1</v>
      </c>
      <c r="BQ67" s="10" t="n">
        <f aca="false">IF(ISNUMBER(AK67),IF(AK67&gt;Parameters!$B$33,1,IF(AK67&lt;0,-1,0)),0)</f>
        <v>-1</v>
      </c>
      <c r="BR67" s="10" t="n">
        <f aca="false">IF(ISNUMBER(AL67),IF(AL67&gt;Parameters!$B$34,1,IF(AL67&lt;0,-1,0)),0)</f>
        <v>-1</v>
      </c>
      <c r="BS67" s="10" t="n">
        <f aca="false">IF(ISNUMBER(AP67),IF(AND(AP67&gt;0,AP67&lt;=Parameters!$B$35),1,IF(AP67&gt;Parameters!$B$36,-1,0)),0)</f>
        <v>0</v>
      </c>
      <c r="BT67" s="10" t="n">
        <f aca="false">IF(ISNUMBER(AY67),IF(AY67&gt;Parameters!$B$37,1,IF(AY67&lt;0,-1,0)),0)</f>
        <v>1</v>
      </c>
      <c r="BU67" s="10" t="n">
        <f aca="false">IF(ISNUMBER(AZ67),IF(AZ67&gt;0,1,0),0)</f>
        <v>0</v>
      </c>
      <c r="BV67" s="10" t="n">
        <f aca="false">IF(ISNUMBER(AL67),IF(AL67&gt;Parameters!$B$39,2,IF(AL67&gt;Parameters!$B$40,1,IF(AL67&lt;0,-2,IF(AL67&lt;Parameters!$B$41,-1,0)))),0)</f>
        <v>-2</v>
      </c>
      <c r="BW67" s="10" t="n">
        <f aca="false">IF(ISNUMBER(AV67),IF(AV67&gt;Parameters!$B$42,1,IF(AV67&lt;Parameters!$B$43,-1,0)),0)</f>
        <v>1</v>
      </c>
      <c r="BX67" s="10" t="n">
        <f aca="false">IF(AND(ISNUMBER(AX67),AX67&gt;0),1,IF(AND(ISNUMBER(AY67),AY67&lt;Parameters!$B$44),-1,0))</f>
        <v>1</v>
      </c>
      <c r="BY67" s="10" t="n">
        <f aca="false">IF(ISNUMBER(AW67),IF(AW67&gt;0,1,0),0)</f>
        <v>1</v>
      </c>
      <c r="BZ67" s="10" t="n">
        <f aca="false">IF(ISNUMBER(AQ67),IF(AQ67&gt;Parameters!$B$46,-2,IF(AQ67&gt;Parameters!$B$45,-1,0)),0)</f>
        <v>0</v>
      </c>
      <c r="CA67" s="10" t="n">
        <f aca="false">IF(ISNUMBER(F67),IF(F67&gt;=Parameters!$B$47,1,IF(F67&lt;=Parameters!$B$48,-1,0)),0)</f>
        <v>0</v>
      </c>
      <c r="CB67" s="17" t="n">
        <f aca="false">IF(BF67="Established",BP67+BQ67+BR67+BS67+BT67+BU67,IF(BF67="Early",BV67+BW67+BX67+BY67+BZ67+CA67,0))</f>
        <v>-2</v>
      </c>
      <c r="CC67" s="18" t="n">
        <f aca="false">IF(BF67="Established",BO67+CB67,IF(BF67="Early",BO67+Parameters!$B$50*CB67,BO67))</f>
        <v>3</v>
      </c>
      <c r="CD67" s="17" t="n">
        <f aca="false">IF(BF67="Established",IF(CC67&gt;=Parameters!$B$51,6,IF(CC67&gt;=Parameters!$B$52,5,IF(CC67&gt;=Parameters!$B$53,4,IF(CC67&gt;=Parameters!$B$54,3,IF(CC67&gt;=Parameters!$B$55,2,1))))),IF(BF67="Early",IF(CC67&gt;=Parameters!$B$56,5,IF(CC67&gt;=Parameters!$B$57,4,IF(CC67&gt;=Parameters!$B$58,3,IF(CC67&gt;=Parameters!$B$59,2,1)))),IF(CC67&gt;=Parameters!$B$60,6,IF(CC67&gt;=Parameters!$B$61,5,IF(CC67&gt;=Parameters!$B$62,4,IF(CC67&gt;=Parameters!$B$63,3,IF(CC67&gt;=Parameters!$B$64,2,1)))))))</f>
        <v>3</v>
      </c>
      <c r="CE67" s="10" t="n">
        <f aca="false">IF(AND(ISNUMBER(AR67),AR67&lt;Parameters!$B$66),1,0)</f>
        <v>0</v>
      </c>
      <c r="CF67" s="10" t="n">
        <f aca="false">IF(AND(LEFT(AH67,5)="Death",ISNUMBER(AG67)),IF(BF67="Early",IF(AND(AG67&lt;Parameters!$B$70,ISNUMBER(U67),U67&lt;Parameters!$B$71),1,0),IF(AND(AG67&lt;Parameters!$B$67,OR(AND(ISNUMBER(U67),U67&lt;Parameters!$B$68),AND(ISNUMBER(V67),V67&lt;Parameters!$B$69))),1,0)),0)</f>
        <v>0</v>
      </c>
      <c r="CG67" s="10" t="n">
        <f aca="false">IF(AND(ISNUMBER(AG67),AG67&lt;0),1,0)</f>
        <v>0</v>
      </c>
      <c r="CH67" s="10" t="n">
        <f aca="false">IF(OR(AND(ISNUMBER(U67),U67&gt;Parameters!$B$74),AND(ISNUMBER(AF67),AF67&gt;Parameters!$B$75),AND(ISNUMBER(AE67),AE67&gt;Parameters!$B$76)),1,0)</f>
        <v>0</v>
      </c>
      <c r="CI67" s="10" t="n">
        <f aca="false">IF(AND(ISNUMBER(BC67),BC67&gt;=0,BC67&lt;=Parameters!$B$77),1,0)</f>
        <v>0</v>
      </c>
      <c r="CJ67" s="17" t="n">
        <f aca="false">IF(CF67=1,1,MIN(CD67,IF(CE67=1,3,6),IF(CG67=1,IF(BF67="Early",Parameters!$B$73,Parameters!$B$72),6),IF(CH67=1,3,6),IF(CI67=1,3,6)))</f>
        <v>3</v>
      </c>
      <c r="CK67" s="10" t="str">
        <f aca="false">INDEX(Parameters!$F$2:$F$7,CJ67)</f>
        <v>Hold</v>
      </c>
      <c r="CL67" s="10" t="str">
        <f aca="false">IF(CF67=1,"Hard sell: breakdown; ","")&amp;IF(CE67=1,"Insufficient history; ","")&amp;IF(AND(CF67=0,CG67=1),"Below 200D; ","")&amp;IF(CH67=1,"Extended - wait for pullback; ","")&amp;IF(CI67=1,"Earnings within "&amp;Parameters!$B$77&amp;"d; ","")</f>
        <v/>
      </c>
    </row>
    <row r="68" customFormat="false" ht="15" hidden="false" customHeight="false" outlineLevel="0" collapsed="false">
      <c r="A68" s="10" t="s">
        <v>469</v>
      </c>
      <c r="B68" s="10" t="n">
        <v>4</v>
      </c>
      <c r="C68" s="10" t="n">
        <v>4</v>
      </c>
      <c r="D68" s="10" t="n">
        <v>20.3</v>
      </c>
      <c r="E68" s="10" t="n">
        <v>13</v>
      </c>
      <c r="F68" s="10" t="n">
        <v>5</v>
      </c>
      <c r="G68" s="10" t="s">
        <v>470</v>
      </c>
      <c r="H68" s="10" t="s">
        <v>471</v>
      </c>
      <c r="I68" s="10" t="n">
        <v>286.92</v>
      </c>
      <c r="J68" s="10" t="s">
        <v>295</v>
      </c>
      <c r="K68" s="10" t="s">
        <v>426</v>
      </c>
      <c r="L68" s="15" t="n">
        <v>104132710224</v>
      </c>
      <c r="M68" s="16" t="n">
        <v>46240</v>
      </c>
      <c r="N68" s="10" t="n">
        <v>11.84</v>
      </c>
      <c r="O68" s="16" t="n">
        <v>46331</v>
      </c>
      <c r="P68" s="10" t="s">
        <v>297</v>
      </c>
      <c r="Q68" s="10" t="n">
        <v>-2.38</v>
      </c>
      <c r="R68" s="10" t="n">
        <v>-1.72</v>
      </c>
      <c r="S68" s="10" t="n">
        <v>-1.08</v>
      </c>
      <c r="T68" s="10" t="n">
        <v>2.65</v>
      </c>
      <c r="U68" s="10" t="n">
        <v>3.08</v>
      </c>
      <c r="V68" s="10" t="n">
        <v>18.42</v>
      </c>
      <c r="W68" s="10" t="n">
        <v>-4.58</v>
      </c>
      <c r="X68" s="10" t="n">
        <v>-4.62</v>
      </c>
      <c r="Y68" s="10"/>
      <c r="Z68" s="10"/>
      <c r="AA68" s="10"/>
      <c r="AB68" s="10"/>
      <c r="AC68" s="10" t="n">
        <v>13.77</v>
      </c>
      <c r="AD68" s="10" t="n">
        <v>-30.48</v>
      </c>
      <c r="AE68" s="10" t="n">
        <v>55.44</v>
      </c>
      <c r="AF68" s="10" t="n">
        <v>6.83</v>
      </c>
      <c r="AG68" s="10" t="n">
        <v>-2.92</v>
      </c>
      <c r="AH68" s="10" t="s">
        <v>377</v>
      </c>
      <c r="AI68" s="10" t="n">
        <v>1.01</v>
      </c>
      <c r="AJ68" s="10" t="n">
        <v>2.12</v>
      </c>
      <c r="AK68" s="10" t="n">
        <v>-38.9</v>
      </c>
      <c r="AL68" s="10" t="n">
        <v>23</v>
      </c>
      <c r="AM68" s="10" t="n">
        <v>11.08</v>
      </c>
      <c r="AN68" s="10" t="n">
        <v>15.06</v>
      </c>
      <c r="AO68" s="10" t="n">
        <v>22.41</v>
      </c>
      <c r="AP68" s="10" t="n">
        <v>-0.62</v>
      </c>
      <c r="AQ68" s="10" t="n">
        <v>2.66</v>
      </c>
      <c r="AR68" s="10" t="n">
        <v>300</v>
      </c>
      <c r="AS68" s="16" t="n">
        <v>46275</v>
      </c>
      <c r="AT68" s="15" t="n">
        <v>31270000640</v>
      </c>
      <c r="AU68" s="15" t="n">
        <v>6912999936</v>
      </c>
      <c r="AV68" s="10" t="n">
        <v>22.11</v>
      </c>
      <c r="AW68" s="15" t="n">
        <v>3464999936</v>
      </c>
      <c r="AX68" s="15" t="n">
        <v>-6625124864</v>
      </c>
      <c r="AY68" s="10" t="n">
        <v>-21.19</v>
      </c>
      <c r="AZ68" s="15" t="n">
        <v>-24003000256</v>
      </c>
      <c r="BA68" s="10" t="n">
        <v>25.5</v>
      </c>
      <c r="BB68" s="10" t="n">
        <v>31.67</v>
      </c>
      <c r="BC68" s="17" t="n">
        <f aca="false">IF(AND(ISNUMBER(O68),ISNUMBER(AS68)),O68-AS68,"")</f>
        <v>56</v>
      </c>
      <c r="BD68" s="10" t="n">
        <f aca="false">IF(OR(ISNUMBER(SEARCH("ETF",H68)),AND(F68="",AO68="")),1,0)</f>
        <v>0</v>
      </c>
      <c r="BE68" s="17" t="n">
        <f aca="false">IF(ISNUMBER(L68),IF(L68&gt;=Parameters!$B$3,2,IF(L68&gt;=Parameters!$B$4,1,0)),0)+IF(ISNUMBER(AW68),IF(AW68&gt;0,IF(AND(ISNUMBER(AM68),AM68&gt;=Parameters!$B$5),2,1),0),0)+IF(ISNUMBER(AX68),IF(AND(AX68&gt;0,ISNUMBER(AY68),AY68&gt;=Parameters!$B$6),1,0),0)+IF(ISNUMBER(AO68),IF(AND(AO68&gt;0,AO68&lt;=Parameters!$B$7),1,0),0)+IF(ISNUMBER(F68),IF(F68&gt;=Parameters!$B$8,1,0),0)</f>
        <v>5</v>
      </c>
      <c r="BF68" s="10" t="str">
        <f aca="false">IF(BD68=1,"ETF",IF(OR(AND(ISNUMBER(L68),L68&gt;=Parameters!$B$10),BE68&gt;=Parameters!$B$9),"Established","Early"))</f>
        <v>Established</v>
      </c>
      <c r="BG68" s="10" t="n">
        <f aca="false">IF(LEFT(AH68,6)="Golden",2,IF(LEFT(AH68,5)="Death",-2,0))</f>
        <v>-2</v>
      </c>
      <c r="BH68" s="10" t="n">
        <f aca="false">IF(ISNUMBER(AG68),IF(AG68&gt;Parameters!$B$12,2,IF(AG68&gt;0,1,IF(AG68&gt;=Parameters!$B$13,-1,-2))),0)</f>
        <v>-1</v>
      </c>
      <c r="BI68" s="10" t="n">
        <f aca="false">IF(ISNUMBER(AF68),IF(AND(AF68&gt;=Parameters!$B$14,AF68&lt;=Parameters!$B$15),1,IF(OR(AF68&gt;Parameters!$B$16,AF68&lt;Parameters!$B$17),-1,0)),0)</f>
        <v>1</v>
      </c>
      <c r="BJ68" s="10" t="n">
        <f aca="false">IF(ISNUMBER(AE68),IF(AND(AE68&gt;=Parameters!$B$18,AE68&lt;=Parameters!$B$19),1,IF(OR(AE68&gt;Parameters!$B$20,AE68&lt;Parameters!$B$21),-1,0)),0)</f>
        <v>1</v>
      </c>
      <c r="BK68" s="10" t="n">
        <f aca="false">IF(ISNUMBER(E68),IF(E68&gt;Parameters!$B$22,1,IF(E68&lt;Parameters!$B$23,-1,0)),0)</f>
        <v>1</v>
      </c>
      <c r="BL68" s="10" t="n">
        <f aca="false">IF(ISNUMBER(C68),IF(C68&gt;=Parameters!$B$24,1,IF(C68&lt;=Parameters!$B$25,-1,0)),0)</f>
        <v>0</v>
      </c>
      <c r="BM68" s="10" t="n">
        <f aca="false">IF(ISNUMBER(AJ68),IF(AND(AJ68&gt;Parameters!$B$26,ISNUMBER(U68)),IF(U68&lt;0,-1,1),0),0)</f>
        <v>0</v>
      </c>
      <c r="BN68" s="10" t="n">
        <f aca="false">IF(ISNUMBER(AD68),IF(AD68&gt;Parameters!$B$27,1,IF(AD68&lt;Parameters!$B$28,-1,0)),0)</f>
        <v>-1</v>
      </c>
      <c r="BO68" s="17" t="n">
        <f aca="false">BG68+BH68+BI68+BJ68+BK68+BL68+BM68+BN68</f>
        <v>-1</v>
      </c>
      <c r="BP68" s="10" t="n">
        <f aca="false">IF(ISNUMBER(F68),IF(F68&gt;=Parameters!$B$30,2,IF(F68&gt;=Parameters!$B$31,1,IF(F68&lt;=Parameters!$B$32,-1,0))),0)</f>
        <v>0</v>
      </c>
      <c r="BQ68" s="10" t="n">
        <f aca="false">IF(ISNUMBER(AK68),IF(AK68&gt;Parameters!$B$33,1,IF(AK68&lt;0,-1,0)),0)</f>
        <v>-1</v>
      </c>
      <c r="BR68" s="10" t="n">
        <f aca="false">IF(ISNUMBER(AL68),IF(AL68&gt;Parameters!$B$34,1,IF(AL68&lt;0,-1,0)),0)</f>
        <v>1</v>
      </c>
      <c r="BS68" s="10" t="n">
        <f aca="false">IF(ISNUMBER(AP68),IF(AND(AP68&gt;0,AP68&lt;=Parameters!$B$35),1,IF(AP68&gt;Parameters!$B$36,-1,0)),0)</f>
        <v>0</v>
      </c>
      <c r="BT68" s="10" t="n">
        <f aca="false">IF(ISNUMBER(AY68),IF(AY68&gt;Parameters!$B$37,1,IF(AY68&lt;0,-1,0)),0)</f>
        <v>-1</v>
      </c>
      <c r="BU68" s="10" t="n">
        <f aca="false">IF(ISNUMBER(AZ68),IF(AZ68&gt;0,1,0),0)</f>
        <v>0</v>
      </c>
      <c r="BV68" s="10" t="n">
        <f aca="false">IF(ISNUMBER(AL68),IF(AL68&gt;Parameters!$B$39,2,IF(AL68&gt;Parameters!$B$40,1,IF(AL68&lt;0,-2,IF(AL68&lt;Parameters!$B$41,-1,0)))),0)</f>
        <v>1</v>
      </c>
      <c r="BW68" s="10" t="n">
        <f aca="false">IF(ISNUMBER(AV68),IF(AV68&gt;Parameters!$B$42,1,IF(AV68&lt;Parameters!$B$43,-1,0)),0)</f>
        <v>-1</v>
      </c>
      <c r="BX68" s="10" t="n">
        <f aca="false">IF(AND(ISNUMBER(AX68),AX68&gt;0),1,IF(AND(ISNUMBER(AY68),AY68&lt;Parameters!$B$44),-1,0))</f>
        <v>-1</v>
      </c>
      <c r="BY68" s="10" t="n">
        <f aca="false">IF(ISNUMBER(AW68),IF(AW68&gt;0,1,0),0)</f>
        <v>1</v>
      </c>
      <c r="BZ68" s="10" t="n">
        <f aca="false">IF(ISNUMBER(AQ68),IF(AQ68&gt;Parameters!$B$46,-2,IF(AQ68&gt;Parameters!$B$45,-1,0)),0)</f>
        <v>0</v>
      </c>
      <c r="CA68" s="10" t="n">
        <f aca="false">IF(ISNUMBER(F68),IF(F68&gt;=Parameters!$B$47,1,IF(F68&lt;=Parameters!$B$48,-1,0)),0)</f>
        <v>0</v>
      </c>
      <c r="CB68" s="17" t="n">
        <f aca="false">IF(BF68="Established",BP68+BQ68+BR68+BS68+BT68+BU68,IF(BF68="Early",BV68+BW68+BX68+BY68+BZ68+CA68,0))</f>
        <v>-1</v>
      </c>
      <c r="CC68" s="18" t="n">
        <f aca="false">IF(BF68="Established",BO68+CB68,IF(BF68="Early",BO68+Parameters!$B$50*CB68,BO68))</f>
        <v>-2</v>
      </c>
      <c r="CD68" s="17" t="n">
        <f aca="false">IF(BF68="Established",IF(CC68&gt;=Parameters!$B$51,6,IF(CC68&gt;=Parameters!$B$52,5,IF(CC68&gt;=Parameters!$B$53,4,IF(CC68&gt;=Parameters!$B$54,3,IF(CC68&gt;=Parameters!$B$55,2,1))))),IF(BF68="Early",IF(CC68&gt;=Parameters!$B$56,5,IF(CC68&gt;=Parameters!$B$57,4,IF(CC68&gt;=Parameters!$B$58,3,IF(CC68&gt;=Parameters!$B$59,2,1)))),IF(CC68&gt;=Parameters!$B$60,6,IF(CC68&gt;=Parameters!$B$61,5,IF(CC68&gt;=Parameters!$B$62,4,IF(CC68&gt;=Parameters!$B$63,3,IF(CC68&gt;=Parameters!$B$64,2,1)))))))</f>
        <v>2</v>
      </c>
      <c r="CE68" s="10" t="n">
        <f aca="false">IF(AND(ISNUMBER(AR68),AR68&lt;Parameters!$B$66),1,0)</f>
        <v>0</v>
      </c>
      <c r="CF68" s="10" t="n">
        <f aca="false">IF(AND(LEFT(AH68,5)="Death",ISNUMBER(AG68)),IF(BF68="Early",IF(AND(AG68&lt;Parameters!$B$70,ISNUMBER(U68),U68&lt;Parameters!$B$71),1,0),IF(AND(AG68&lt;Parameters!$B$67,OR(AND(ISNUMBER(U68),U68&lt;Parameters!$B$68),AND(ISNUMBER(V68),V68&lt;Parameters!$B$69))),1,0)),0)</f>
        <v>0</v>
      </c>
      <c r="CG68" s="10" t="n">
        <f aca="false">IF(AND(ISNUMBER(AG68),AG68&lt;0),1,0)</f>
        <v>1</v>
      </c>
      <c r="CH68" s="10" t="n">
        <f aca="false">IF(OR(AND(ISNUMBER(U68),U68&gt;Parameters!$B$74),AND(ISNUMBER(AF68),AF68&gt;Parameters!$B$75),AND(ISNUMBER(AE68),AE68&gt;Parameters!$B$76)),1,0)</f>
        <v>0</v>
      </c>
      <c r="CI68" s="10" t="n">
        <f aca="false">IF(AND(ISNUMBER(BC68),BC68&gt;=0,BC68&lt;=Parameters!$B$77),1,0)</f>
        <v>0</v>
      </c>
      <c r="CJ68" s="17" t="n">
        <f aca="false">IF(CF68=1,1,MIN(CD68,IF(CE68=1,3,6),IF(CG68=1,IF(BF68="Early",Parameters!$B$73,Parameters!$B$72),6),IF(CH68=1,3,6),IF(CI68=1,3,6)))</f>
        <v>2</v>
      </c>
      <c r="CK68" s="10" t="str">
        <f aca="false">INDEX(Parameters!$F$2:$F$7,CJ68)</f>
        <v>Avoid</v>
      </c>
      <c r="CL68" s="10" t="str">
        <f aca="false">IF(CF68=1,"Hard sell: breakdown; ","")&amp;IF(CE68=1,"Insufficient history; ","")&amp;IF(AND(CF68=0,CG68=1),"Below 200D; ","")&amp;IF(CH68=1,"Extended - wait for pullback; ","")&amp;IF(CI68=1,"Earnings within "&amp;Parameters!$B$77&amp;"d; ","")</f>
        <v>Below 200D; </v>
      </c>
    </row>
    <row r="69" customFormat="false" ht="15" hidden="false" customHeight="false" outlineLevel="0" collapsed="false">
      <c r="A69" s="10" t="s">
        <v>472</v>
      </c>
      <c r="B69" s="10" t="n">
        <v>4</v>
      </c>
      <c r="C69" s="10" t="n">
        <v>5</v>
      </c>
      <c r="D69" s="10" t="n">
        <v>46.4</v>
      </c>
      <c r="E69" s="10" t="n">
        <v>-3.7</v>
      </c>
      <c r="F69" s="10" t="n">
        <v>3</v>
      </c>
      <c r="G69" s="10" t="s">
        <v>473</v>
      </c>
      <c r="H69" s="10" t="s">
        <v>386</v>
      </c>
      <c r="I69" s="10" t="n">
        <v>27.47</v>
      </c>
      <c r="J69" s="10" t="s">
        <v>295</v>
      </c>
      <c r="K69" s="10" t="s">
        <v>350</v>
      </c>
      <c r="L69" s="15" t="n">
        <v>158336932302</v>
      </c>
      <c r="M69" s="16" t="n">
        <v>46238</v>
      </c>
      <c r="N69" s="10" t="n">
        <v>13.24</v>
      </c>
      <c r="O69" s="16" t="n">
        <v>46329</v>
      </c>
      <c r="P69" s="10" t="s">
        <v>297</v>
      </c>
      <c r="Q69" s="10" t="n">
        <v>-1.13</v>
      </c>
      <c r="R69" s="10" t="n">
        <v>-0.04</v>
      </c>
      <c r="S69" s="10" t="n">
        <v>-5.36</v>
      </c>
      <c r="T69" s="10" t="n">
        <v>-2.95</v>
      </c>
      <c r="U69" s="10" t="n">
        <v>3.17</v>
      </c>
      <c r="V69" s="10" t="n">
        <v>7.29</v>
      </c>
      <c r="W69" s="10" t="n">
        <v>0.6</v>
      </c>
      <c r="X69" s="10" t="n">
        <v>11.15</v>
      </c>
      <c r="Y69" s="10"/>
      <c r="Z69" s="10"/>
      <c r="AA69" s="10"/>
      <c r="AB69" s="10"/>
      <c r="AC69" s="10" t="n">
        <v>2.64</v>
      </c>
      <c r="AD69" s="10" t="n">
        <v>-5.97</v>
      </c>
      <c r="AE69" s="10" t="n">
        <v>49.95</v>
      </c>
      <c r="AF69" s="10" t="n">
        <v>4.88</v>
      </c>
      <c r="AG69" s="10" t="n">
        <v>4.8</v>
      </c>
      <c r="AH69" s="10" t="s">
        <v>474</v>
      </c>
      <c r="AI69" s="10" t="n">
        <v>-0.17</v>
      </c>
      <c r="AJ69" s="10" t="n">
        <v>-29.6</v>
      </c>
      <c r="AK69" s="10" t="n">
        <v>2.6</v>
      </c>
      <c r="AL69" s="10" t="n">
        <v>2.6</v>
      </c>
      <c r="AM69" s="10" t="n">
        <v>6.81</v>
      </c>
      <c r="AN69" s="10" t="n">
        <v>5.01</v>
      </c>
      <c r="AO69" s="10" t="n">
        <v>9.65</v>
      </c>
      <c r="AP69" s="10" t="n">
        <v>-0.34</v>
      </c>
      <c r="AQ69" s="10" t="n">
        <v>2.62</v>
      </c>
      <c r="AR69" s="10" t="n">
        <v>300</v>
      </c>
      <c r="AS69" s="16" t="n">
        <v>46275</v>
      </c>
      <c r="AT69" s="15" t="n">
        <v>63695998976</v>
      </c>
      <c r="AU69" s="15" t="n">
        <v>47590998016</v>
      </c>
      <c r="AV69" s="10" t="n">
        <v>74.72</v>
      </c>
      <c r="AW69" s="15" t="n">
        <v>4338999808</v>
      </c>
      <c r="AX69" s="15" t="n">
        <v>12485624832</v>
      </c>
      <c r="AY69" s="10" t="n">
        <v>19.6</v>
      </c>
      <c r="AZ69" s="15" t="n">
        <v>-51776000000</v>
      </c>
      <c r="BA69" s="10" t="n">
        <v>16.48</v>
      </c>
      <c r="BB69" s="10" t="n">
        <v>69.01</v>
      </c>
      <c r="BC69" s="17" t="n">
        <f aca="false">IF(AND(ISNUMBER(O69),ISNUMBER(AS69)),O69-AS69,"")</f>
        <v>54</v>
      </c>
      <c r="BD69" s="10" t="n">
        <f aca="false">IF(OR(ISNUMBER(SEARCH("ETF",H69)),AND(F69="",AO69="")),1,0)</f>
        <v>0</v>
      </c>
      <c r="BE69" s="17" t="n">
        <f aca="false">IF(ISNUMBER(L69),IF(L69&gt;=Parameters!$B$3,2,IF(L69&gt;=Parameters!$B$4,1,0)),0)+IF(ISNUMBER(AW69),IF(AW69&gt;0,IF(AND(ISNUMBER(AM69),AM69&gt;=Parameters!$B$5),2,1),0),0)+IF(ISNUMBER(AX69),IF(AND(AX69&gt;0,ISNUMBER(AY69),AY69&gt;=Parameters!$B$6),1,0),0)+IF(ISNUMBER(AO69),IF(AND(AO69&gt;0,AO69&lt;=Parameters!$B$7),1,0),0)+IF(ISNUMBER(F69),IF(F69&gt;=Parameters!$B$8,1,0),0)</f>
        <v>6</v>
      </c>
      <c r="BF69" s="10" t="str">
        <f aca="false">IF(BD69=1,"ETF",IF(OR(AND(ISNUMBER(L69),L69&gt;=Parameters!$B$10),BE69&gt;=Parameters!$B$9),"Established","Early"))</f>
        <v>Established</v>
      </c>
      <c r="BG69" s="10" t="n">
        <f aca="false">IF(LEFT(AH69,6)="Golden",2,IF(LEFT(AH69,5)="Death",-2,0))</f>
        <v>-2</v>
      </c>
      <c r="BH69" s="10" t="n">
        <f aca="false">IF(ISNUMBER(AG69),IF(AG69&gt;Parameters!$B$12,2,IF(AG69&gt;0,1,IF(AG69&gt;=Parameters!$B$13,-1,-2))),0)</f>
        <v>1</v>
      </c>
      <c r="BI69" s="10" t="n">
        <f aca="false">IF(ISNUMBER(AF69),IF(AND(AF69&gt;=Parameters!$B$14,AF69&lt;=Parameters!$B$15),1,IF(OR(AF69&gt;Parameters!$B$16,AF69&lt;Parameters!$B$17),-1,0)),0)</f>
        <v>1</v>
      </c>
      <c r="BJ69" s="10" t="n">
        <f aca="false">IF(ISNUMBER(AE69),IF(AND(AE69&gt;=Parameters!$B$18,AE69&lt;=Parameters!$B$19),1,IF(OR(AE69&gt;Parameters!$B$20,AE69&lt;Parameters!$B$21),-1,0)),0)</f>
        <v>1</v>
      </c>
      <c r="BK69" s="10" t="n">
        <f aca="false">IF(ISNUMBER(E69),IF(E69&gt;Parameters!$B$22,1,IF(E69&lt;Parameters!$B$23,-1,0)),0)</f>
        <v>0</v>
      </c>
      <c r="BL69" s="10" t="n">
        <f aca="false">IF(ISNUMBER(C69),IF(C69&gt;=Parameters!$B$24,1,IF(C69&lt;=Parameters!$B$25,-1,0)),0)</f>
        <v>0</v>
      </c>
      <c r="BM69" s="10" t="n">
        <f aca="false">IF(ISNUMBER(AJ69),IF(AND(AJ69&gt;Parameters!$B$26,ISNUMBER(U69)),IF(U69&lt;0,-1,1),0),0)</f>
        <v>0</v>
      </c>
      <c r="BN69" s="10" t="n">
        <f aca="false">IF(ISNUMBER(AD69),IF(AD69&gt;Parameters!$B$27,1,IF(AD69&lt;Parameters!$B$28,-1,0)),0)</f>
        <v>1</v>
      </c>
      <c r="BO69" s="17" t="n">
        <f aca="false">BG69+BH69+BI69+BJ69+BK69+BL69+BM69+BN69</f>
        <v>2</v>
      </c>
      <c r="BP69" s="10" t="n">
        <f aca="false">IF(ISNUMBER(F69),IF(F69&gt;=Parameters!$B$30,2,IF(F69&gt;=Parameters!$B$31,1,IF(F69&lt;=Parameters!$B$32,-1,0))),0)</f>
        <v>-1</v>
      </c>
      <c r="BQ69" s="10" t="n">
        <f aca="false">IF(ISNUMBER(AK69),IF(AK69&gt;Parameters!$B$33,1,IF(AK69&lt;0,-1,0)),0)</f>
        <v>0</v>
      </c>
      <c r="BR69" s="10" t="n">
        <f aca="false">IF(ISNUMBER(AL69),IF(AL69&gt;Parameters!$B$34,1,IF(AL69&lt;0,-1,0)),0)</f>
        <v>0</v>
      </c>
      <c r="BS69" s="10" t="n">
        <f aca="false">IF(ISNUMBER(AP69),IF(AND(AP69&gt;0,AP69&lt;=Parameters!$B$35),1,IF(AP69&gt;Parameters!$B$36,-1,0)),0)</f>
        <v>0</v>
      </c>
      <c r="BT69" s="10" t="n">
        <f aca="false">IF(ISNUMBER(AY69),IF(AY69&gt;Parameters!$B$37,1,IF(AY69&lt;0,-1,0)),0)</f>
        <v>1</v>
      </c>
      <c r="BU69" s="10" t="n">
        <f aca="false">IF(ISNUMBER(AZ69),IF(AZ69&gt;0,1,0),0)</f>
        <v>0</v>
      </c>
      <c r="BV69" s="10" t="n">
        <f aca="false">IF(ISNUMBER(AL69),IF(AL69&gt;Parameters!$B$39,2,IF(AL69&gt;Parameters!$B$40,1,IF(AL69&lt;0,-2,IF(AL69&lt;Parameters!$B$41,-1,0)))),0)</f>
        <v>-1</v>
      </c>
      <c r="BW69" s="10" t="n">
        <f aca="false">IF(ISNUMBER(AV69),IF(AV69&gt;Parameters!$B$42,1,IF(AV69&lt;Parameters!$B$43,-1,0)),0)</f>
        <v>1</v>
      </c>
      <c r="BX69" s="10" t="n">
        <f aca="false">IF(AND(ISNUMBER(AX69),AX69&gt;0),1,IF(AND(ISNUMBER(AY69),AY69&lt;Parameters!$B$44),-1,0))</f>
        <v>1</v>
      </c>
      <c r="BY69" s="10" t="n">
        <f aca="false">IF(ISNUMBER(AW69),IF(AW69&gt;0,1,0),0)</f>
        <v>1</v>
      </c>
      <c r="BZ69" s="10" t="n">
        <f aca="false">IF(ISNUMBER(AQ69),IF(AQ69&gt;Parameters!$B$46,-2,IF(AQ69&gt;Parameters!$B$45,-1,0)),0)</f>
        <v>0</v>
      </c>
      <c r="CA69" s="10" t="n">
        <f aca="false">IF(ISNUMBER(F69),IF(F69&gt;=Parameters!$B$47,1,IF(F69&lt;=Parameters!$B$48,-1,0)),0)</f>
        <v>-1</v>
      </c>
      <c r="CB69" s="17" t="n">
        <f aca="false">IF(BF69="Established",BP69+BQ69+BR69+BS69+BT69+BU69,IF(BF69="Early",BV69+BW69+BX69+BY69+BZ69+CA69,0))</f>
        <v>0</v>
      </c>
      <c r="CC69" s="18" t="n">
        <f aca="false">IF(BF69="Established",BO69+CB69,IF(BF69="Early",BO69+Parameters!$B$50*CB69,BO69))</f>
        <v>2</v>
      </c>
      <c r="CD69" s="17" t="n">
        <f aca="false">IF(BF69="Established",IF(CC69&gt;=Parameters!$B$51,6,IF(CC69&gt;=Parameters!$B$52,5,IF(CC69&gt;=Parameters!$B$53,4,IF(CC69&gt;=Parameters!$B$54,3,IF(CC69&gt;=Parameters!$B$55,2,1))))),IF(BF69="Early",IF(CC69&gt;=Parameters!$B$56,5,IF(CC69&gt;=Parameters!$B$57,4,IF(CC69&gt;=Parameters!$B$58,3,IF(CC69&gt;=Parameters!$B$59,2,1)))),IF(CC69&gt;=Parameters!$B$60,6,IF(CC69&gt;=Parameters!$B$61,5,IF(CC69&gt;=Parameters!$B$62,4,IF(CC69&gt;=Parameters!$B$63,3,IF(CC69&gt;=Parameters!$B$64,2,1)))))))</f>
        <v>3</v>
      </c>
      <c r="CE69" s="10" t="n">
        <f aca="false">IF(AND(ISNUMBER(AR69),AR69&lt;Parameters!$B$66),1,0)</f>
        <v>0</v>
      </c>
      <c r="CF69" s="10" t="n">
        <f aca="false">IF(AND(LEFT(AH69,5)="Death",ISNUMBER(AG69)),IF(BF69="Early",IF(AND(AG69&lt;Parameters!$B$70,ISNUMBER(U69),U69&lt;Parameters!$B$71),1,0),IF(AND(AG69&lt;Parameters!$B$67,OR(AND(ISNUMBER(U69),U69&lt;Parameters!$B$68),AND(ISNUMBER(V69),V69&lt;Parameters!$B$69))),1,0)),0)</f>
        <v>0</v>
      </c>
      <c r="CG69" s="10" t="n">
        <f aca="false">IF(AND(ISNUMBER(AG69),AG69&lt;0),1,0)</f>
        <v>0</v>
      </c>
      <c r="CH69" s="10" t="n">
        <f aca="false">IF(OR(AND(ISNUMBER(U69),U69&gt;Parameters!$B$74),AND(ISNUMBER(AF69),AF69&gt;Parameters!$B$75),AND(ISNUMBER(AE69),AE69&gt;Parameters!$B$76)),1,0)</f>
        <v>0</v>
      </c>
      <c r="CI69" s="10" t="n">
        <f aca="false">IF(AND(ISNUMBER(BC69),BC69&gt;=0,BC69&lt;=Parameters!$B$77),1,0)</f>
        <v>0</v>
      </c>
      <c r="CJ69" s="17" t="n">
        <f aca="false">IF(CF69=1,1,MIN(CD69,IF(CE69=1,3,6),IF(CG69=1,IF(BF69="Early",Parameters!$B$73,Parameters!$B$72),6),IF(CH69=1,3,6),IF(CI69=1,3,6)))</f>
        <v>3</v>
      </c>
      <c r="CK69" s="10" t="str">
        <f aca="false">INDEX(Parameters!$F$2:$F$7,CJ69)</f>
        <v>Hold</v>
      </c>
      <c r="CL69" s="10" t="str">
        <f aca="false">IF(CF69=1,"Hard sell: breakdown; ","")&amp;IF(CE69=1,"Insufficient history; ","")&amp;IF(AND(CF69=0,CG69=1),"Below 200D; ","")&amp;IF(CH69=1,"Extended - wait for pullback; ","")&amp;IF(CI69=1,"Earnings within "&amp;Parameters!$B$77&amp;"d; ","")</f>
        <v/>
      </c>
    </row>
    <row r="70" customFormat="false" ht="15" hidden="false" customHeight="false" outlineLevel="0" collapsed="false">
      <c r="A70" s="10" t="s">
        <v>475</v>
      </c>
      <c r="B70" s="10" t="n">
        <v>4</v>
      </c>
      <c r="C70" s="10" t="n">
        <v>4</v>
      </c>
      <c r="D70" s="10" t="n">
        <v>47.9</v>
      </c>
      <c r="E70" s="10" t="n">
        <v>-13.4</v>
      </c>
      <c r="F70" s="10"/>
      <c r="G70" s="10" t="s">
        <v>476</v>
      </c>
      <c r="H70" s="10" t="s">
        <v>363</v>
      </c>
      <c r="I70" s="10" t="n">
        <v>218.87</v>
      </c>
      <c r="J70" s="10" t="s">
        <v>295</v>
      </c>
      <c r="K70" s="10"/>
      <c r="L70" s="15"/>
      <c r="M70" s="16" t="n">
        <v>46190</v>
      </c>
      <c r="N70" s="10" t="n">
        <v>1.28</v>
      </c>
      <c r="O70" s="16" t="n">
        <v>46281</v>
      </c>
      <c r="P70" s="10" t="s">
        <v>297</v>
      </c>
      <c r="Q70" s="10" t="n">
        <v>-0.26</v>
      </c>
      <c r="R70" s="10" t="n">
        <v>-1.83</v>
      </c>
      <c r="S70" s="10" t="n">
        <v>-2.01</v>
      </c>
      <c r="T70" s="10" t="n">
        <v>-7.41</v>
      </c>
      <c r="U70" s="10" t="n">
        <v>-13.11</v>
      </c>
      <c r="V70" s="10" t="n">
        <v>-2.67</v>
      </c>
      <c r="W70" s="10" t="n">
        <v>-8.3</v>
      </c>
      <c r="X70" s="10" t="n">
        <v>11.54</v>
      </c>
      <c r="Y70" s="10"/>
      <c r="Z70" s="10"/>
      <c r="AA70" s="10"/>
      <c r="AB70" s="10"/>
      <c r="AC70" s="10" t="n">
        <v>-7.31</v>
      </c>
      <c r="AD70" s="10" t="n">
        <v>-14.7</v>
      </c>
      <c r="AE70" s="10" t="n">
        <v>27.39</v>
      </c>
      <c r="AF70" s="10" t="n">
        <v>-8.34</v>
      </c>
      <c r="AG70" s="10" t="n">
        <v>-4.73</v>
      </c>
      <c r="AH70" s="10" t="s">
        <v>301</v>
      </c>
      <c r="AI70" s="10" t="n">
        <v>-1.78</v>
      </c>
      <c r="AJ70" s="10" t="n">
        <v>-16.96</v>
      </c>
      <c r="AK70" s="10"/>
      <c r="AL70" s="10"/>
      <c r="AM70" s="10"/>
      <c r="AN70" s="10"/>
      <c r="AO70" s="10"/>
      <c r="AP70" s="10"/>
      <c r="AQ70" s="10"/>
      <c r="AR70" s="10" t="n">
        <v>300</v>
      </c>
      <c r="AS70" s="16" t="n">
        <v>46275</v>
      </c>
      <c r="AT70" s="15" t="n">
        <v>0</v>
      </c>
      <c r="AU70" s="15" t="n">
        <v>0</v>
      </c>
      <c r="AV70" s="10"/>
      <c r="AW70" s="15" t="n">
        <v>0</v>
      </c>
      <c r="AX70" s="15" t="n">
        <v>0</v>
      </c>
      <c r="AY70" s="10"/>
      <c r="AZ70" s="15" t="n">
        <v>0</v>
      </c>
      <c r="BA70" s="10" t="n">
        <v>11.83</v>
      </c>
      <c r="BB70" s="10" t="n">
        <v>38.04</v>
      </c>
      <c r="BC70" s="17" t="n">
        <f aca="false">IF(AND(ISNUMBER(O70),ISNUMBER(AS70)),O70-AS70,"")</f>
        <v>6</v>
      </c>
      <c r="BD70" s="10" t="n">
        <f aca="false">IF(OR(ISNUMBER(SEARCH("ETF",H70)),AND(F70="",AO70="")),1,0)</f>
        <v>1</v>
      </c>
      <c r="BE70" s="17" t="n">
        <f aca="false">IF(ISNUMBER(L70),IF(L70&gt;=Parameters!$B$3,2,IF(L70&gt;=Parameters!$B$4,1,0)),0)+IF(ISNUMBER(AW70),IF(AW70&gt;0,IF(AND(ISNUMBER(AM70),AM70&gt;=Parameters!$B$5),2,1),0),0)+IF(ISNUMBER(AX70),IF(AND(AX70&gt;0,ISNUMBER(AY70),AY70&gt;=Parameters!$B$6),1,0),0)+IF(ISNUMBER(AO70),IF(AND(AO70&gt;0,AO70&lt;=Parameters!$B$7),1,0),0)+IF(ISNUMBER(F70),IF(F70&gt;=Parameters!$B$8,1,0),0)</f>
        <v>0</v>
      </c>
      <c r="BF70" s="10" t="str">
        <f aca="false">IF(BD70=1,"ETF",IF(OR(AND(ISNUMBER(L70),L70&gt;=Parameters!$B$10),BE70&gt;=Parameters!$B$9),"Established","Early"))</f>
        <v>ETF</v>
      </c>
      <c r="BG70" s="10" t="n">
        <f aca="false">IF(LEFT(AH70,6)="Golden",2,IF(LEFT(AH70,5)="Death",-2,0))</f>
        <v>2</v>
      </c>
      <c r="BH70" s="10" t="n">
        <f aca="false">IF(ISNUMBER(AG70),IF(AG70&gt;Parameters!$B$12,2,IF(AG70&gt;0,1,IF(AG70&gt;=Parameters!$B$13,-1,-2))),0)</f>
        <v>-1</v>
      </c>
      <c r="BI70" s="10" t="n">
        <f aca="false">IF(ISNUMBER(AF70),IF(AND(AF70&gt;=Parameters!$B$14,AF70&lt;=Parameters!$B$15),1,IF(OR(AF70&gt;Parameters!$B$16,AF70&lt;Parameters!$B$17),-1,0)),0)</f>
        <v>-1</v>
      </c>
      <c r="BJ70" s="10" t="n">
        <f aca="false">IF(ISNUMBER(AE70),IF(AND(AE70&gt;=Parameters!$B$18,AE70&lt;=Parameters!$B$19),1,IF(OR(AE70&gt;Parameters!$B$20,AE70&lt;Parameters!$B$21),-1,0)),0)</f>
        <v>-1</v>
      </c>
      <c r="BK70" s="10" t="n">
        <f aca="false">IF(ISNUMBER(E70),IF(E70&gt;Parameters!$B$22,1,IF(E70&lt;Parameters!$B$23,-1,0)),0)</f>
        <v>-1</v>
      </c>
      <c r="BL70" s="10" t="n">
        <f aca="false">IF(ISNUMBER(C70),IF(C70&gt;=Parameters!$B$24,1,IF(C70&lt;=Parameters!$B$25,-1,0)),0)</f>
        <v>0</v>
      </c>
      <c r="BM70" s="10" t="n">
        <f aca="false">IF(ISNUMBER(AJ70),IF(AND(AJ70&gt;Parameters!$B$26,ISNUMBER(U70)),IF(U70&lt;0,-1,1),0),0)</f>
        <v>0</v>
      </c>
      <c r="BN70" s="10" t="n">
        <f aca="false">IF(ISNUMBER(AD70),IF(AD70&gt;Parameters!$B$27,1,IF(AD70&lt;Parameters!$B$28,-1,0)),0)</f>
        <v>0</v>
      </c>
      <c r="BO70" s="17" t="n">
        <f aca="false">BG70+BH70+BI70+BJ70+BK70+BL70+BM70+BN70</f>
        <v>-2</v>
      </c>
      <c r="BP70" s="10" t="n">
        <f aca="false">IF(ISNUMBER(F70),IF(F70&gt;=Parameters!$B$30,2,IF(F70&gt;=Parameters!$B$31,1,IF(F70&lt;=Parameters!$B$32,-1,0))),0)</f>
        <v>0</v>
      </c>
      <c r="BQ70" s="10" t="n">
        <f aca="false">IF(ISNUMBER(AK70),IF(AK70&gt;Parameters!$B$33,1,IF(AK70&lt;0,-1,0)),0)</f>
        <v>0</v>
      </c>
      <c r="BR70" s="10" t="n">
        <f aca="false">IF(ISNUMBER(AL70),IF(AL70&gt;Parameters!$B$34,1,IF(AL70&lt;0,-1,0)),0)</f>
        <v>0</v>
      </c>
      <c r="BS70" s="10" t="n">
        <f aca="false">IF(ISNUMBER(AP70),IF(AND(AP70&gt;0,AP70&lt;=Parameters!$B$35),1,IF(AP70&gt;Parameters!$B$36,-1,0)),0)</f>
        <v>0</v>
      </c>
      <c r="BT70" s="10" t="n">
        <f aca="false">IF(ISNUMBER(AY70),IF(AY70&gt;Parameters!$B$37,1,IF(AY70&lt;0,-1,0)),0)</f>
        <v>0</v>
      </c>
      <c r="BU70" s="10" t="n">
        <f aca="false">IF(ISNUMBER(AZ70),IF(AZ70&gt;0,1,0),0)</f>
        <v>0</v>
      </c>
      <c r="BV70" s="10" t="n">
        <f aca="false">IF(ISNUMBER(AL70),IF(AL70&gt;Parameters!$B$39,2,IF(AL70&gt;Parameters!$B$40,1,IF(AL70&lt;0,-2,IF(AL70&lt;Parameters!$B$41,-1,0)))),0)</f>
        <v>0</v>
      </c>
      <c r="BW70" s="10" t="n">
        <f aca="false">IF(ISNUMBER(AV70),IF(AV70&gt;Parameters!$B$42,1,IF(AV70&lt;Parameters!$B$43,-1,0)),0)</f>
        <v>0</v>
      </c>
      <c r="BX70" s="10" t="n">
        <f aca="false">IF(AND(ISNUMBER(AX70),AX70&gt;0),1,IF(AND(ISNUMBER(AY70),AY70&lt;Parameters!$B$44),-1,0))</f>
        <v>0</v>
      </c>
      <c r="BY70" s="10" t="n">
        <f aca="false">IF(ISNUMBER(AW70),IF(AW70&gt;0,1,0),0)</f>
        <v>0</v>
      </c>
      <c r="BZ70" s="10" t="n">
        <f aca="false">IF(ISNUMBER(AQ70),IF(AQ70&gt;Parameters!$B$46,-2,IF(AQ70&gt;Parameters!$B$45,-1,0)),0)</f>
        <v>0</v>
      </c>
      <c r="CA70" s="10" t="n">
        <f aca="false">IF(ISNUMBER(F70),IF(F70&gt;=Parameters!$B$47,1,IF(F70&lt;=Parameters!$B$48,-1,0)),0)</f>
        <v>0</v>
      </c>
      <c r="CB70" s="17" t="n">
        <f aca="false">IF(BF70="Established",BP70+BQ70+BR70+BS70+BT70+BU70,IF(BF70="Early",BV70+BW70+BX70+BY70+BZ70+CA70,0))</f>
        <v>0</v>
      </c>
      <c r="CC70" s="18" t="n">
        <f aca="false">IF(BF70="Established",BO70+CB70,IF(BF70="Early",BO70+Parameters!$B$50*CB70,BO70))</f>
        <v>-2</v>
      </c>
      <c r="CD70" s="17" t="n">
        <f aca="false">IF(BF70="Established",IF(CC70&gt;=Parameters!$B$51,6,IF(CC70&gt;=Parameters!$B$52,5,IF(CC70&gt;=Parameters!$B$53,4,IF(CC70&gt;=Parameters!$B$54,3,IF(CC70&gt;=Parameters!$B$55,2,1))))),IF(BF70="Early",IF(CC70&gt;=Parameters!$B$56,5,IF(CC70&gt;=Parameters!$B$57,4,IF(CC70&gt;=Parameters!$B$58,3,IF(CC70&gt;=Parameters!$B$59,2,1)))),IF(CC70&gt;=Parameters!$B$60,6,IF(CC70&gt;=Parameters!$B$61,5,IF(CC70&gt;=Parameters!$B$62,4,IF(CC70&gt;=Parameters!$B$63,3,IF(CC70&gt;=Parameters!$B$64,2,1)))))))</f>
        <v>2</v>
      </c>
      <c r="CE70" s="10" t="n">
        <f aca="false">IF(AND(ISNUMBER(AR70),AR70&lt;Parameters!$B$66),1,0)</f>
        <v>0</v>
      </c>
      <c r="CF70" s="10" t="n">
        <f aca="false">IF(AND(LEFT(AH70,5)="Death",ISNUMBER(AG70)),IF(BF70="Early",IF(AND(AG70&lt;Parameters!$B$70,ISNUMBER(U70),U70&lt;Parameters!$B$71),1,0),IF(AND(AG70&lt;Parameters!$B$67,OR(AND(ISNUMBER(U70),U70&lt;Parameters!$B$68),AND(ISNUMBER(V70),V70&lt;Parameters!$B$69))),1,0)),0)</f>
        <v>0</v>
      </c>
      <c r="CG70" s="10" t="n">
        <f aca="false">IF(AND(ISNUMBER(AG70),AG70&lt;0),1,0)</f>
        <v>1</v>
      </c>
      <c r="CH70" s="10" t="n">
        <f aca="false">IF(OR(AND(ISNUMBER(U70),U70&gt;Parameters!$B$74),AND(ISNUMBER(AF70),AF70&gt;Parameters!$B$75),AND(ISNUMBER(AE70),AE70&gt;Parameters!$B$76)),1,0)</f>
        <v>0</v>
      </c>
      <c r="CI70" s="10" t="n">
        <f aca="false">IF(AND(ISNUMBER(BC70),BC70&gt;=0,BC70&lt;=Parameters!$B$77),1,0)</f>
        <v>1</v>
      </c>
      <c r="CJ70" s="17" t="n">
        <f aca="false">IF(CF70=1,1,MIN(CD70,IF(CE70=1,3,6),IF(CG70=1,IF(BF70="Early",Parameters!$B$73,Parameters!$B$72),6),IF(CH70=1,3,6),IF(CI70=1,3,6)))</f>
        <v>2</v>
      </c>
      <c r="CK70" s="10" t="str">
        <f aca="false">INDEX(Parameters!$F$2:$F$7,CJ70)</f>
        <v>Avoid</v>
      </c>
      <c r="CL70" s="10" t="str">
        <f aca="false">IF(CF70=1,"Hard sell: breakdown; ","")&amp;IF(CE70=1,"Insufficient history; ","")&amp;IF(AND(CF70=0,CG70=1),"Below 200D; ","")&amp;IF(CH70=1,"Extended - wait for pullback; ","")&amp;IF(CI70=1,"Earnings within "&amp;Parameters!$B$77&amp;"d; ","")</f>
        <v>Below 200D; Earnings within 7d; </v>
      </c>
    </row>
    <row r="71" customFormat="false" ht="15" hidden="false" customHeight="false" outlineLevel="0" collapsed="false">
      <c r="A71" s="10" t="s">
        <v>477</v>
      </c>
      <c r="B71" s="10" t="n">
        <v>4</v>
      </c>
      <c r="C71" s="10" t="n">
        <v>3</v>
      </c>
      <c r="D71" s="10" t="n">
        <v>26.2</v>
      </c>
      <c r="E71" s="10" t="n">
        <v>-2.4</v>
      </c>
      <c r="F71" s="10" t="n">
        <v>6</v>
      </c>
      <c r="G71" s="10" t="s">
        <v>478</v>
      </c>
      <c r="H71" s="10" t="s">
        <v>349</v>
      </c>
      <c r="I71" s="10" t="n">
        <v>179.2</v>
      </c>
      <c r="J71" s="10" t="s">
        <v>295</v>
      </c>
      <c r="K71" s="10" t="s">
        <v>360</v>
      </c>
      <c r="L71" s="15" t="n">
        <v>19026488607</v>
      </c>
      <c r="M71" s="16" t="n">
        <v>46232</v>
      </c>
      <c r="N71" s="10" t="n">
        <v>-39.71</v>
      </c>
      <c r="O71" s="16" t="n">
        <v>46323</v>
      </c>
      <c r="P71" s="10" t="s">
        <v>297</v>
      </c>
      <c r="Q71" s="10" t="n">
        <v>-3.27</v>
      </c>
      <c r="R71" s="10" t="n">
        <v>-5.82</v>
      </c>
      <c r="S71" s="10" t="n">
        <v>-3.45</v>
      </c>
      <c r="T71" s="10" t="n">
        <v>-10.97</v>
      </c>
      <c r="U71" s="10" t="n">
        <v>-20.57</v>
      </c>
      <c r="V71" s="10" t="n">
        <v>-20.62</v>
      </c>
      <c r="W71" s="10" t="n">
        <v>-31.05</v>
      </c>
      <c r="X71" s="10" t="n">
        <v>8.35</v>
      </c>
      <c r="Y71" s="10"/>
      <c r="Z71" s="10"/>
      <c r="AA71" s="10"/>
      <c r="AB71" s="10"/>
      <c r="AC71" s="10" t="n">
        <v>-25.27</v>
      </c>
      <c r="AD71" s="10" t="n">
        <v>-44.61</v>
      </c>
      <c r="AE71" s="10" t="n">
        <v>35.51</v>
      </c>
      <c r="AF71" s="10" t="n">
        <v>-15.21</v>
      </c>
      <c r="AG71" s="10" t="n">
        <v>-23.74</v>
      </c>
      <c r="AH71" s="10" t="s">
        <v>479</v>
      </c>
      <c r="AI71" s="10" t="n">
        <v>-1</v>
      </c>
      <c r="AJ71" s="10" t="n">
        <v>-15.49</v>
      </c>
      <c r="AK71" s="10" t="n">
        <v>-24.4</v>
      </c>
      <c r="AL71" s="10" t="n">
        <v>40.9</v>
      </c>
      <c r="AM71" s="10" t="n">
        <v>15.34</v>
      </c>
      <c r="AN71" s="10" t="n">
        <v>174.46</v>
      </c>
      <c r="AO71" s="10" t="n">
        <v>16.34</v>
      </c>
      <c r="AP71" s="10" t="n">
        <v>-1.57</v>
      </c>
      <c r="AQ71" s="10" t="n">
        <v>6.59</v>
      </c>
      <c r="AR71" s="10" t="n">
        <v>300</v>
      </c>
      <c r="AS71" s="16" t="n">
        <v>46275</v>
      </c>
      <c r="AT71" s="15" t="n">
        <v>3112873984</v>
      </c>
      <c r="AU71" s="15" t="n">
        <v>1002748032</v>
      </c>
      <c r="AV71" s="10" t="n">
        <v>32.21</v>
      </c>
      <c r="AW71" s="15" t="n">
        <v>477636000</v>
      </c>
      <c r="AX71" s="15" t="n">
        <v>-524538368</v>
      </c>
      <c r="AY71" s="10" t="n">
        <v>-16.85</v>
      </c>
      <c r="AZ71" s="15" t="n">
        <v>-3159124992</v>
      </c>
      <c r="BA71" s="10" t="n">
        <v>19.87</v>
      </c>
      <c r="BB71" s="10" t="n">
        <v>17.07</v>
      </c>
      <c r="BC71" s="17" t="n">
        <f aca="false">IF(AND(ISNUMBER(O71),ISNUMBER(AS71)),O71-AS71,"")</f>
        <v>48</v>
      </c>
      <c r="BD71" s="10" t="n">
        <f aca="false">IF(OR(ISNUMBER(SEARCH("ETF",H71)),AND(F71="",AO71="")),1,0)</f>
        <v>0</v>
      </c>
      <c r="BE71" s="17" t="n">
        <f aca="false">IF(ISNUMBER(L71),IF(L71&gt;=Parameters!$B$3,2,IF(L71&gt;=Parameters!$B$4,1,0)),0)+IF(ISNUMBER(AW71),IF(AW71&gt;0,IF(AND(ISNUMBER(AM71),AM71&gt;=Parameters!$B$5),2,1),0),0)+IF(ISNUMBER(AX71),IF(AND(AX71&gt;0,ISNUMBER(AY71),AY71&gt;=Parameters!$B$6),1,0),0)+IF(ISNUMBER(AO71),IF(AND(AO71&gt;0,AO71&lt;=Parameters!$B$7),1,0),0)+IF(ISNUMBER(F71),IF(F71&gt;=Parameters!$B$8,1,0),0)</f>
        <v>3</v>
      </c>
      <c r="BF71" s="10" t="str">
        <f aca="false">IF(BD71=1,"ETF",IF(OR(AND(ISNUMBER(L71),L71&gt;=Parameters!$B$10),BE71&gt;=Parameters!$B$9),"Established","Early"))</f>
        <v>Early</v>
      </c>
      <c r="BG71" s="10" t="n">
        <f aca="false">IF(LEFT(AH71,6)="Golden",2,IF(LEFT(AH71,5)="Death",-2,0))</f>
        <v>-2</v>
      </c>
      <c r="BH71" s="10" t="n">
        <f aca="false">IF(ISNUMBER(AG71),IF(AG71&gt;Parameters!$B$12,2,IF(AG71&gt;0,1,IF(AG71&gt;=Parameters!$B$13,-1,-2))),0)</f>
        <v>-2</v>
      </c>
      <c r="BI71" s="10" t="n">
        <f aca="false">IF(ISNUMBER(AF71),IF(AND(AF71&gt;=Parameters!$B$14,AF71&lt;=Parameters!$B$15),1,IF(OR(AF71&gt;Parameters!$B$16,AF71&lt;Parameters!$B$17),-1,0)),0)</f>
        <v>-1</v>
      </c>
      <c r="BJ71" s="10" t="n">
        <f aca="false">IF(ISNUMBER(AE71),IF(AND(AE71&gt;=Parameters!$B$18,AE71&lt;=Parameters!$B$19),1,IF(OR(AE71&gt;Parameters!$B$20,AE71&lt;Parameters!$B$21),-1,0)),0)</f>
        <v>0</v>
      </c>
      <c r="BK71" s="10" t="n">
        <f aca="false">IF(ISNUMBER(E71),IF(E71&gt;Parameters!$B$22,1,IF(E71&lt;Parameters!$B$23,-1,0)),0)</f>
        <v>0</v>
      </c>
      <c r="BL71" s="10" t="n">
        <f aca="false">IF(ISNUMBER(C71),IF(C71&gt;=Parameters!$B$24,1,IF(C71&lt;=Parameters!$B$25,-1,0)),0)</f>
        <v>-1</v>
      </c>
      <c r="BM71" s="10" t="n">
        <f aca="false">IF(ISNUMBER(AJ71),IF(AND(AJ71&gt;Parameters!$B$26,ISNUMBER(U71)),IF(U71&lt;0,-1,1),0),0)</f>
        <v>0</v>
      </c>
      <c r="BN71" s="10" t="n">
        <f aca="false">IF(ISNUMBER(AD71),IF(AD71&gt;Parameters!$B$27,1,IF(AD71&lt;Parameters!$B$28,-1,0)),0)</f>
        <v>-1</v>
      </c>
      <c r="BO71" s="17" t="n">
        <f aca="false">BG71+BH71+BI71+BJ71+BK71+BL71+BM71+BN71</f>
        <v>-7</v>
      </c>
      <c r="BP71" s="10" t="n">
        <f aca="false">IF(ISNUMBER(F71),IF(F71&gt;=Parameters!$B$30,2,IF(F71&gt;=Parameters!$B$31,1,IF(F71&lt;=Parameters!$B$32,-1,0))),0)</f>
        <v>1</v>
      </c>
      <c r="BQ71" s="10" t="n">
        <f aca="false">IF(ISNUMBER(AK71),IF(AK71&gt;Parameters!$B$33,1,IF(AK71&lt;0,-1,0)),0)</f>
        <v>-1</v>
      </c>
      <c r="BR71" s="10" t="n">
        <f aca="false">IF(ISNUMBER(AL71),IF(AL71&gt;Parameters!$B$34,1,IF(AL71&lt;0,-1,0)),0)</f>
        <v>1</v>
      </c>
      <c r="BS71" s="10" t="n">
        <f aca="false">IF(ISNUMBER(AP71),IF(AND(AP71&gt;0,AP71&lt;=Parameters!$B$35),1,IF(AP71&gt;Parameters!$B$36,-1,0)),0)</f>
        <v>0</v>
      </c>
      <c r="BT71" s="10" t="n">
        <f aca="false">IF(ISNUMBER(AY71),IF(AY71&gt;Parameters!$B$37,1,IF(AY71&lt;0,-1,0)),0)</f>
        <v>-1</v>
      </c>
      <c r="BU71" s="10" t="n">
        <f aca="false">IF(ISNUMBER(AZ71),IF(AZ71&gt;0,1,0),0)</f>
        <v>0</v>
      </c>
      <c r="BV71" s="10" t="n">
        <f aca="false">IF(ISNUMBER(AL71),IF(AL71&gt;Parameters!$B$39,2,IF(AL71&gt;Parameters!$B$40,1,IF(AL71&lt;0,-2,IF(AL71&lt;Parameters!$B$41,-1,0)))),0)</f>
        <v>2</v>
      </c>
      <c r="BW71" s="10" t="n">
        <f aca="false">IF(ISNUMBER(AV71),IF(AV71&gt;Parameters!$B$42,1,IF(AV71&lt;Parameters!$B$43,-1,0)),0)</f>
        <v>0</v>
      </c>
      <c r="BX71" s="10" t="n">
        <f aca="false">IF(AND(ISNUMBER(AX71),AX71&gt;0),1,IF(AND(ISNUMBER(AY71),AY71&lt;Parameters!$B$44),-1,0))</f>
        <v>0</v>
      </c>
      <c r="BY71" s="10" t="n">
        <f aca="false">IF(ISNUMBER(AW71),IF(AW71&gt;0,1,0),0)</f>
        <v>1</v>
      </c>
      <c r="BZ71" s="10" t="n">
        <f aca="false">IF(ISNUMBER(AQ71),IF(AQ71&gt;Parameters!$B$46,-2,IF(AQ71&gt;Parameters!$B$45,-1,0)),0)</f>
        <v>0</v>
      </c>
      <c r="CA71" s="10" t="n">
        <f aca="false">IF(ISNUMBER(F71),IF(F71&gt;=Parameters!$B$47,1,IF(F71&lt;=Parameters!$B$48,-1,0)),0)</f>
        <v>1</v>
      </c>
      <c r="CB71" s="17" t="n">
        <f aca="false">IF(BF71="Established",BP71+BQ71+BR71+BS71+BT71+BU71,IF(BF71="Early",BV71+BW71+BX71+BY71+BZ71+CA71,0))</f>
        <v>4</v>
      </c>
      <c r="CC71" s="18" t="n">
        <f aca="false">IF(BF71="Established",BO71+CB71,IF(BF71="Early",BO71+Parameters!$B$50*CB71,BO71))</f>
        <v>-5</v>
      </c>
      <c r="CD71" s="17" t="n">
        <f aca="false">IF(BF71="Established",IF(CC71&gt;=Parameters!$B$51,6,IF(CC71&gt;=Parameters!$B$52,5,IF(CC71&gt;=Parameters!$B$53,4,IF(CC71&gt;=Parameters!$B$54,3,IF(CC71&gt;=Parameters!$B$55,2,1))))),IF(BF71="Early",IF(CC71&gt;=Parameters!$B$56,5,IF(CC71&gt;=Parameters!$B$57,4,IF(CC71&gt;=Parameters!$B$58,3,IF(CC71&gt;=Parameters!$B$59,2,1)))),IF(CC71&gt;=Parameters!$B$60,6,IF(CC71&gt;=Parameters!$B$61,5,IF(CC71&gt;=Parameters!$B$62,4,IF(CC71&gt;=Parameters!$B$63,3,IF(CC71&gt;=Parameters!$B$64,2,1)))))))</f>
        <v>1</v>
      </c>
      <c r="CE71" s="10" t="n">
        <f aca="false">IF(AND(ISNUMBER(AR71),AR71&lt;Parameters!$B$66),1,0)</f>
        <v>0</v>
      </c>
      <c r="CF71" s="10" t="n">
        <f aca="false">IF(AND(LEFT(AH71,5)="Death",ISNUMBER(AG71)),IF(BF71="Early",IF(AND(AG71&lt;Parameters!$B$70,ISNUMBER(U71),U71&lt;Parameters!$B$71),1,0),IF(AND(AG71&lt;Parameters!$B$67,OR(AND(ISNUMBER(U71),U71&lt;Parameters!$B$68),AND(ISNUMBER(V71),V71&lt;Parameters!$B$69))),1,0)),0)</f>
        <v>1</v>
      </c>
      <c r="CG71" s="10" t="n">
        <f aca="false">IF(AND(ISNUMBER(AG71),AG71&lt;0),1,0)</f>
        <v>1</v>
      </c>
      <c r="CH71" s="10" t="n">
        <f aca="false">IF(OR(AND(ISNUMBER(U71),U71&gt;Parameters!$B$74),AND(ISNUMBER(AF71),AF71&gt;Parameters!$B$75),AND(ISNUMBER(AE71),AE71&gt;Parameters!$B$76)),1,0)</f>
        <v>0</v>
      </c>
      <c r="CI71" s="10" t="n">
        <f aca="false">IF(AND(ISNUMBER(BC71),BC71&gt;=0,BC71&lt;=Parameters!$B$77),1,0)</f>
        <v>0</v>
      </c>
      <c r="CJ71" s="17" t="n">
        <f aca="false">IF(CF71=1,1,MIN(CD71,IF(CE71=1,3,6),IF(CG71=1,IF(BF71="Early",Parameters!$B$73,Parameters!$B$72),6),IF(CH71=1,3,6),IF(CI71=1,3,6)))</f>
        <v>1</v>
      </c>
      <c r="CK71" s="10" t="str">
        <f aca="false">INDEX(Parameters!$F$2:$F$7,CJ71)</f>
        <v>Sell Immediately</v>
      </c>
      <c r="CL71" s="10" t="str">
        <f aca="false">IF(CF71=1,"Hard sell: breakdown; ","")&amp;IF(CE71=1,"Insufficient history; ","")&amp;IF(AND(CF71=0,CG71=1),"Below 200D; ","")&amp;IF(CH71=1,"Extended - wait for pullback; ","")&amp;IF(CI71=1,"Earnings within "&amp;Parameters!$B$77&amp;"d; ","")</f>
        <v>Hard sell: breakdown; </v>
      </c>
    </row>
    <row r="72" customFormat="false" ht="15" hidden="false" customHeight="false" outlineLevel="0" collapsed="false">
      <c r="A72" s="10" t="s">
        <v>480</v>
      </c>
      <c r="B72" s="10" t="n">
        <v>4</v>
      </c>
      <c r="C72" s="10" t="n">
        <v>4</v>
      </c>
      <c r="D72" s="10" t="n">
        <v>37.3</v>
      </c>
      <c r="E72" s="10" t="n">
        <v>1.1</v>
      </c>
      <c r="F72" s="10" t="n">
        <v>3</v>
      </c>
      <c r="G72" s="10" t="s">
        <v>481</v>
      </c>
      <c r="H72" s="10" t="s">
        <v>386</v>
      </c>
      <c r="I72" s="10" t="n">
        <v>98.05</v>
      </c>
      <c r="J72" s="10" t="s">
        <v>295</v>
      </c>
      <c r="K72" s="10" t="s">
        <v>482</v>
      </c>
      <c r="L72" s="15" t="n">
        <v>35734844462</v>
      </c>
      <c r="M72" s="16" t="n">
        <v>46253</v>
      </c>
      <c r="N72" s="10" t="n">
        <v>21.88</v>
      </c>
      <c r="O72" s="16" t="n">
        <v>46344</v>
      </c>
      <c r="P72" s="10" t="s">
        <v>297</v>
      </c>
      <c r="Q72" s="10" t="n">
        <v>-0.73</v>
      </c>
      <c r="R72" s="10" t="n">
        <v>-2.87</v>
      </c>
      <c r="S72" s="10" t="n">
        <v>-3.07</v>
      </c>
      <c r="T72" s="10" t="n">
        <v>-6.68</v>
      </c>
      <c r="U72" s="10" t="n">
        <v>11.69</v>
      </c>
      <c r="V72" s="10" t="n">
        <v>14.82</v>
      </c>
      <c r="W72" s="10" t="n">
        <v>7.11</v>
      </c>
      <c r="X72" s="10" t="n">
        <v>10.54</v>
      </c>
      <c r="Y72" s="10"/>
      <c r="Z72" s="10"/>
      <c r="AA72" s="10"/>
      <c r="AB72" s="10"/>
      <c r="AC72" s="10" t="n">
        <v>10.18</v>
      </c>
      <c r="AD72" s="10" t="n">
        <v>-19.4</v>
      </c>
      <c r="AE72" s="10" t="n">
        <v>53.3</v>
      </c>
      <c r="AF72" s="10" t="n">
        <v>9.32</v>
      </c>
      <c r="AG72" s="10" t="n">
        <v>6.04</v>
      </c>
      <c r="AH72" s="10" t="s">
        <v>377</v>
      </c>
      <c r="AI72" s="10" t="n">
        <v>-0.78</v>
      </c>
      <c r="AJ72" s="10" t="n">
        <v>-32.86</v>
      </c>
      <c r="AK72" s="10" t="n">
        <v>6.33</v>
      </c>
      <c r="AL72" s="10" t="n">
        <v>6.3</v>
      </c>
      <c r="AM72" s="10" t="n">
        <v>1.21</v>
      </c>
      <c r="AN72" s="10" t="n">
        <v>4.75</v>
      </c>
      <c r="AO72" s="10" t="n">
        <v>25.98</v>
      </c>
      <c r="AP72" s="10" t="n">
        <v>-2.58</v>
      </c>
      <c r="AQ72" s="10" t="n">
        <v>3.09</v>
      </c>
      <c r="AR72" s="10" t="n">
        <v>300</v>
      </c>
      <c r="AS72" s="16" t="n">
        <v>46275</v>
      </c>
      <c r="AT72" s="15" t="n">
        <v>15048999936</v>
      </c>
      <c r="AU72" s="15" t="n">
        <v>11360000000</v>
      </c>
      <c r="AV72" s="10" t="n">
        <v>75.49</v>
      </c>
      <c r="AW72" s="15" t="n">
        <v>182000000</v>
      </c>
      <c r="AX72" s="15" t="n">
        <v>1812125056</v>
      </c>
      <c r="AY72" s="10" t="n">
        <v>12.04</v>
      </c>
      <c r="AZ72" s="15" t="n">
        <v>-5748000256</v>
      </c>
      <c r="BA72" s="10" t="n">
        <v>48.06</v>
      </c>
      <c r="BB72" s="10" t="n">
        <v>57.43</v>
      </c>
      <c r="BC72" s="17" t="n">
        <f aca="false">IF(AND(ISNUMBER(O72),ISNUMBER(AS72)),O72-AS72,"")</f>
        <v>69</v>
      </c>
      <c r="BD72" s="10" t="n">
        <f aca="false">IF(OR(ISNUMBER(SEARCH("ETF",H72)),AND(F72="",AO72="")),1,0)</f>
        <v>0</v>
      </c>
      <c r="BE72" s="17" t="n">
        <f aca="false">IF(ISNUMBER(L72),IF(L72&gt;=Parameters!$B$3,2,IF(L72&gt;=Parameters!$B$4,1,0)),0)+IF(ISNUMBER(AW72),IF(AW72&gt;0,IF(AND(ISNUMBER(AM72),AM72&gt;=Parameters!$B$5),2,1),0),0)+IF(ISNUMBER(AX72),IF(AND(AX72&gt;0,ISNUMBER(AY72),AY72&gt;=Parameters!$B$6),1,0),0)+IF(ISNUMBER(AO72),IF(AND(AO72&gt;0,AO72&lt;=Parameters!$B$7),1,0),0)+IF(ISNUMBER(F72),IF(F72&gt;=Parameters!$B$8,1,0),0)</f>
        <v>4</v>
      </c>
      <c r="BF72" s="10" t="str">
        <f aca="false">IF(BD72=1,"ETF",IF(OR(AND(ISNUMBER(L72),L72&gt;=Parameters!$B$10),BE72&gt;=Parameters!$B$9),"Established","Early"))</f>
        <v>Early</v>
      </c>
      <c r="BG72" s="10" t="n">
        <f aca="false">IF(LEFT(AH72,6)="Golden",2,IF(LEFT(AH72,5)="Death",-2,0))</f>
        <v>-2</v>
      </c>
      <c r="BH72" s="10" t="n">
        <f aca="false">IF(ISNUMBER(AG72),IF(AG72&gt;Parameters!$B$12,2,IF(AG72&gt;0,1,IF(AG72&gt;=Parameters!$B$13,-1,-2))),0)</f>
        <v>1</v>
      </c>
      <c r="BI72" s="10" t="n">
        <f aca="false">IF(ISNUMBER(AF72),IF(AND(AF72&gt;=Parameters!$B$14,AF72&lt;=Parameters!$B$15),1,IF(OR(AF72&gt;Parameters!$B$16,AF72&lt;Parameters!$B$17),-1,0)),0)</f>
        <v>0</v>
      </c>
      <c r="BJ72" s="10" t="n">
        <f aca="false">IF(ISNUMBER(AE72),IF(AND(AE72&gt;=Parameters!$B$18,AE72&lt;=Parameters!$B$19),1,IF(OR(AE72&gt;Parameters!$B$20,AE72&lt;Parameters!$B$21),-1,0)),0)</f>
        <v>1</v>
      </c>
      <c r="BK72" s="10" t="n">
        <f aca="false">IF(ISNUMBER(E72),IF(E72&gt;Parameters!$B$22,1,IF(E72&lt;Parameters!$B$23,-1,0)),0)</f>
        <v>0</v>
      </c>
      <c r="BL72" s="10" t="n">
        <f aca="false">IF(ISNUMBER(C72),IF(C72&gt;=Parameters!$B$24,1,IF(C72&lt;=Parameters!$B$25,-1,0)),0)</f>
        <v>0</v>
      </c>
      <c r="BM72" s="10" t="n">
        <f aca="false">IF(ISNUMBER(AJ72),IF(AND(AJ72&gt;Parameters!$B$26,ISNUMBER(U72)),IF(U72&lt;0,-1,1),0),0)</f>
        <v>0</v>
      </c>
      <c r="BN72" s="10" t="n">
        <f aca="false">IF(ISNUMBER(AD72),IF(AD72&gt;Parameters!$B$27,1,IF(AD72&lt;Parameters!$B$28,-1,0)),0)</f>
        <v>0</v>
      </c>
      <c r="BO72" s="17" t="n">
        <f aca="false">BG72+BH72+BI72+BJ72+BK72+BL72+BM72+BN72</f>
        <v>0</v>
      </c>
      <c r="BP72" s="10" t="n">
        <f aca="false">IF(ISNUMBER(F72),IF(F72&gt;=Parameters!$B$30,2,IF(F72&gt;=Parameters!$B$31,1,IF(F72&lt;=Parameters!$B$32,-1,0))),0)</f>
        <v>-1</v>
      </c>
      <c r="BQ72" s="10" t="n">
        <f aca="false">IF(ISNUMBER(AK72),IF(AK72&gt;Parameters!$B$33,1,IF(AK72&lt;0,-1,0)),0)</f>
        <v>0</v>
      </c>
      <c r="BR72" s="10" t="n">
        <f aca="false">IF(ISNUMBER(AL72),IF(AL72&gt;Parameters!$B$34,1,IF(AL72&lt;0,-1,0)),0)</f>
        <v>0</v>
      </c>
      <c r="BS72" s="10" t="n">
        <f aca="false">IF(ISNUMBER(AP72),IF(AND(AP72&gt;0,AP72&lt;=Parameters!$B$35),1,IF(AP72&gt;Parameters!$B$36,-1,0)),0)</f>
        <v>0</v>
      </c>
      <c r="BT72" s="10" t="n">
        <f aca="false">IF(ISNUMBER(AY72),IF(AY72&gt;Parameters!$B$37,1,IF(AY72&lt;0,-1,0)),0)</f>
        <v>1</v>
      </c>
      <c r="BU72" s="10" t="n">
        <f aca="false">IF(ISNUMBER(AZ72),IF(AZ72&gt;0,1,0),0)</f>
        <v>0</v>
      </c>
      <c r="BV72" s="10" t="n">
        <f aca="false">IF(ISNUMBER(AL72),IF(AL72&gt;Parameters!$B$39,2,IF(AL72&gt;Parameters!$B$40,1,IF(AL72&lt;0,-2,IF(AL72&lt;Parameters!$B$41,-1,0)))),0)</f>
        <v>0</v>
      </c>
      <c r="BW72" s="10" t="n">
        <f aca="false">IF(ISNUMBER(AV72),IF(AV72&gt;Parameters!$B$42,1,IF(AV72&lt;Parameters!$B$43,-1,0)),0)</f>
        <v>1</v>
      </c>
      <c r="BX72" s="10" t="n">
        <f aca="false">IF(AND(ISNUMBER(AX72),AX72&gt;0),1,IF(AND(ISNUMBER(AY72),AY72&lt;Parameters!$B$44),-1,0))</f>
        <v>1</v>
      </c>
      <c r="BY72" s="10" t="n">
        <f aca="false">IF(ISNUMBER(AW72),IF(AW72&gt;0,1,0),0)</f>
        <v>1</v>
      </c>
      <c r="BZ72" s="10" t="n">
        <f aca="false">IF(ISNUMBER(AQ72),IF(AQ72&gt;Parameters!$B$46,-2,IF(AQ72&gt;Parameters!$B$45,-1,0)),0)</f>
        <v>0</v>
      </c>
      <c r="CA72" s="10" t="n">
        <f aca="false">IF(ISNUMBER(F72),IF(F72&gt;=Parameters!$B$47,1,IF(F72&lt;=Parameters!$B$48,-1,0)),0)</f>
        <v>-1</v>
      </c>
      <c r="CB72" s="17" t="n">
        <f aca="false">IF(BF72="Established",BP72+BQ72+BR72+BS72+BT72+BU72,IF(BF72="Early",BV72+BW72+BX72+BY72+BZ72+CA72,0))</f>
        <v>2</v>
      </c>
      <c r="CC72" s="18" t="n">
        <f aca="false">IF(BF72="Established",BO72+CB72,IF(BF72="Early",BO72+Parameters!$B$50*CB72,BO72))</f>
        <v>1</v>
      </c>
      <c r="CD72" s="17" t="n">
        <f aca="false">IF(BF72="Established",IF(CC72&gt;=Parameters!$B$51,6,IF(CC72&gt;=Parameters!$B$52,5,IF(CC72&gt;=Parameters!$B$53,4,IF(CC72&gt;=Parameters!$B$54,3,IF(CC72&gt;=Parameters!$B$55,2,1))))),IF(BF72="Early",IF(CC72&gt;=Parameters!$B$56,5,IF(CC72&gt;=Parameters!$B$57,4,IF(CC72&gt;=Parameters!$B$58,3,IF(CC72&gt;=Parameters!$B$59,2,1)))),IF(CC72&gt;=Parameters!$B$60,6,IF(CC72&gt;=Parameters!$B$61,5,IF(CC72&gt;=Parameters!$B$62,4,IF(CC72&gt;=Parameters!$B$63,3,IF(CC72&gt;=Parameters!$B$64,2,1)))))))</f>
        <v>3</v>
      </c>
      <c r="CE72" s="10" t="n">
        <f aca="false">IF(AND(ISNUMBER(AR72),AR72&lt;Parameters!$B$66),1,0)</f>
        <v>0</v>
      </c>
      <c r="CF72" s="10" t="n">
        <f aca="false">IF(AND(LEFT(AH72,5)="Death",ISNUMBER(AG72)),IF(BF72="Early",IF(AND(AG72&lt;Parameters!$B$70,ISNUMBER(U72),U72&lt;Parameters!$B$71),1,0),IF(AND(AG72&lt;Parameters!$B$67,OR(AND(ISNUMBER(U72),U72&lt;Parameters!$B$68),AND(ISNUMBER(V72),V72&lt;Parameters!$B$69))),1,0)),0)</f>
        <v>0</v>
      </c>
      <c r="CG72" s="10" t="n">
        <f aca="false">IF(AND(ISNUMBER(AG72),AG72&lt;0),1,0)</f>
        <v>0</v>
      </c>
      <c r="CH72" s="10" t="n">
        <f aca="false">IF(OR(AND(ISNUMBER(U72),U72&gt;Parameters!$B$74),AND(ISNUMBER(AF72),AF72&gt;Parameters!$B$75),AND(ISNUMBER(AE72),AE72&gt;Parameters!$B$76)),1,0)</f>
        <v>0</v>
      </c>
      <c r="CI72" s="10" t="n">
        <f aca="false">IF(AND(ISNUMBER(BC72),BC72&gt;=0,BC72&lt;=Parameters!$B$77),1,0)</f>
        <v>0</v>
      </c>
      <c r="CJ72" s="17" t="n">
        <f aca="false">IF(CF72=1,1,MIN(CD72,IF(CE72=1,3,6),IF(CG72=1,IF(BF72="Early",Parameters!$B$73,Parameters!$B$72),6),IF(CH72=1,3,6),IF(CI72=1,3,6)))</f>
        <v>3</v>
      </c>
      <c r="CK72" s="10" t="str">
        <f aca="false">INDEX(Parameters!$F$2:$F$7,CJ72)</f>
        <v>Hold</v>
      </c>
      <c r="CL72" s="10" t="str">
        <f aca="false">IF(CF72=1,"Hard sell: breakdown; ","")&amp;IF(CE72=1,"Insufficient history; ","")&amp;IF(AND(CF72=0,CG72=1),"Below 200D; ","")&amp;IF(CH72=1,"Extended - wait for pullback; ","")&amp;IF(CI72=1,"Earnings within "&amp;Parameters!$B$77&amp;"d; ","")</f>
        <v/>
      </c>
    </row>
    <row r="73" customFormat="false" ht="15" hidden="false" customHeight="false" outlineLevel="0" collapsed="false">
      <c r="A73" s="10" t="s">
        <v>483</v>
      </c>
      <c r="B73" s="10" t="n">
        <v>4</v>
      </c>
      <c r="C73" s="10" t="n">
        <v>4</v>
      </c>
      <c r="D73" s="10" t="n">
        <v>38</v>
      </c>
      <c r="E73" s="10" t="n">
        <v>-4.9</v>
      </c>
      <c r="F73" s="10"/>
      <c r="G73" s="10" t="s">
        <v>484</v>
      </c>
      <c r="H73" s="10" t="s">
        <v>349</v>
      </c>
      <c r="I73" s="10" t="n">
        <v>399.99</v>
      </c>
      <c r="J73" s="10" t="s">
        <v>295</v>
      </c>
      <c r="K73" s="10"/>
      <c r="L73" s="15" t="n">
        <v>112774971392</v>
      </c>
      <c r="M73" s="16" t="n">
        <v>46232</v>
      </c>
      <c r="N73" s="10" t="n">
        <v>13.45</v>
      </c>
      <c r="O73" s="16" t="n">
        <v>46323</v>
      </c>
      <c r="P73" s="10" t="s">
        <v>297</v>
      </c>
      <c r="Q73" s="10" t="n">
        <v>-0.83</v>
      </c>
      <c r="R73" s="10" t="n">
        <v>0.91</v>
      </c>
      <c r="S73" s="10" t="n">
        <v>-0.69</v>
      </c>
      <c r="T73" s="10" t="n">
        <v>-5.06</v>
      </c>
      <c r="U73" s="10" t="n">
        <v>-0.24</v>
      </c>
      <c r="V73" s="10" t="n">
        <v>6.78</v>
      </c>
      <c r="W73" s="10" t="n">
        <v>-16.01</v>
      </c>
      <c r="X73" s="10" t="n">
        <v>19.74</v>
      </c>
      <c r="Y73" s="10"/>
      <c r="Z73" s="10"/>
      <c r="AA73" s="10"/>
      <c r="AB73" s="10"/>
      <c r="AC73" s="10" t="n">
        <v>2.14</v>
      </c>
      <c r="AD73" s="10" t="n">
        <v>-21.52</v>
      </c>
      <c r="AE73" s="10" t="n">
        <v>47.93</v>
      </c>
      <c r="AF73" s="10" t="n">
        <v>2.37</v>
      </c>
      <c r="AG73" s="10" t="n">
        <v>-3.81</v>
      </c>
      <c r="AH73" s="10" t="s">
        <v>474</v>
      </c>
      <c r="AI73" s="10" t="n">
        <v>-2.72</v>
      </c>
      <c r="AJ73" s="10" t="n">
        <v>-31.4</v>
      </c>
      <c r="AK73" s="10"/>
      <c r="AL73" s="10"/>
      <c r="AM73" s="10"/>
      <c r="AN73" s="10"/>
      <c r="AO73" s="10"/>
      <c r="AP73" s="10"/>
      <c r="AQ73" s="10"/>
      <c r="AR73" s="10" t="n">
        <v>300</v>
      </c>
      <c r="AS73" s="16" t="n">
        <v>46275</v>
      </c>
      <c r="AT73" s="15" t="n">
        <v>0</v>
      </c>
      <c r="AU73" s="15" t="n">
        <v>0</v>
      </c>
      <c r="AV73" s="10"/>
      <c r="AW73" s="15" t="n">
        <v>0</v>
      </c>
      <c r="AX73" s="15" t="n">
        <v>0</v>
      </c>
      <c r="AY73" s="10"/>
      <c r="AZ73" s="15" t="n">
        <v>0</v>
      </c>
      <c r="BA73" s="10" t="n">
        <v>22.62</v>
      </c>
      <c r="BB73" s="10" t="n">
        <v>40.22</v>
      </c>
      <c r="BC73" s="17" t="n">
        <f aca="false">IF(AND(ISNUMBER(O73),ISNUMBER(AS73)),O73-AS73,"")</f>
        <v>48</v>
      </c>
      <c r="BD73" s="10" t="n">
        <f aca="false">IF(OR(ISNUMBER(SEARCH("ETF",H73)),AND(F73="",AO73="")),1,0)</f>
        <v>1</v>
      </c>
      <c r="BE73" s="17" t="n">
        <f aca="false">IF(ISNUMBER(L73),IF(L73&gt;=Parameters!$B$3,2,IF(L73&gt;=Parameters!$B$4,1,0)),0)+IF(ISNUMBER(AW73),IF(AW73&gt;0,IF(AND(ISNUMBER(AM73),AM73&gt;=Parameters!$B$5),2,1),0),0)+IF(ISNUMBER(AX73),IF(AND(AX73&gt;0,ISNUMBER(AY73),AY73&gt;=Parameters!$B$6),1,0),0)+IF(ISNUMBER(AO73),IF(AND(AO73&gt;0,AO73&lt;=Parameters!$B$7),1,0),0)+IF(ISNUMBER(F73),IF(F73&gt;=Parameters!$B$8,1,0),0)</f>
        <v>2</v>
      </c>
      <c r="BF73" s="10" t="str">
        <f aca="false">IF(BD73=1,"ETF",IF(OR(AND(ISNUMBER(L73),L73&gt;=Parameters!$B$10),BE73&gt;=Parameters!$B$9),"Established","Early"))</f>
        <v>ETF</v>
      </c>
      <c r="BG73" s="10" t="n">
        <f aca="false">IF(LEFT(AH73,6)="Golden",2,IF(LEFT(AH73,5)="Death",-2,0))</f>
        <v>-2</v>
      </c>
      <c r="BH73" s="10" t="n">
        <f aca="false">IF(ISNUMBER(AG73),IF(AG73&gt;Parameters!$B$12,2,IF(AG73&gt;0,1,IF(AG73&gt;=Parameters!$B$13,-1,-2))),0)</f>
        <v>-1</v>
      </c>
      <c r="BI73" s="10" t="n">
        <f aca="false">IF(ISNUMBER(AF73),IF(AND(AF73&gt;=Parameters!$B$14,AF73&lt;=Parameters!$B$15),1,IF(OR(AF73&gt;Parameters!$B$16,AF73&lt;Parameters!$B$17),-1,0)),0)</f>
        <v>1</v>
      </c>
      <c r="BJ73" s="10" t="n">
        <f aca="false">IF(ISNUMBER(AE73),IF(AND(AE73&gt;=Parameters!$B$18,AE73&lt;=Parameters!$B$19),1,IF(OR(AE73&gt;Parameters!$B$20,AE73&lt;Parameters!$B$21),-1,0)),0)</f>
        <v>1</v>
      </c>
      <c r="BK73" s="10" t="n">
        <f aca="false">IF(ISNUMBER(E73),IF(E73&gt;Parameters!$B$22,1,IF(E73&lt;Parameters!$B$23,-1,0)),0)</f>
        <v>0</v>
      </c>
      <c r="BL73" s="10" t="n">
        <f aca="false">IF(ISNUMBER(C73),IF(C73&gt;=Parameters!$B$24,1,IF(C73&lt;=Parameters!$B$25,-1,0)),0)</f>
        <v>0</v>
      </c>
      <c r="BM73" s="10" t="n">
        <f aca="false">IF(ISNUMBER(AJ73),IF(AND(AJ73&gt;Parameters!$B$26,ISNUMBER(U73)),IF(U73&lt;0,-1,1),0),0)</f>
        <v>0</v>
      </c>
      <c r="BN73" s="10" t="n">
        <f aca="false">IF(ISNUMBER(AD73),IF(AD73&gt;Parameters!$B$27,1,IF(AD73&lt;Parameters!$B$28,-1,0)),0)</f>
        <v>0</v>
      </c>
      <c r="BO73" s="17" t="n">
        <f aca="false">BG73+BH73+BI73+BJ73+BK73+BL73+BM73+BN73</f>
        <v>-1</v>
      </c>
      <c r="BP73" s="10" t="n">
        <f aca="false">IF(ISNUMBER(F73),IF(F73&gt;=Parameters!$B$30,2,IF(F73&gt;=Parameters!$B$31,1,IF(F73&lt;=Parameters!$B$32,-1,0))),0)</f>
        <v>0</v>
      </c>
      <c r="BQ73" s="10" t="n">
        <f aca="false">IF(ISNUMBER(AK73),IF(AK73&gt;Parameters!$B$33,1,IF(AK73&lt;0,-1,0)),0)</f>
        <v>0</v>
      </c>
      <c r="BR73" s="10" t="n">
        <f aca="false">IF(ISNUMBER(AL73),IF(AL73&gt;Parameters!$B$34,1,IF(AL73&lt;0,-1,0)),0)</f>
        <v>0</v>
      </c>
      <c r="BS73" s="10" t="n">
        <f aca="false">IF(ISNUMBER(AP73),IF(AND(AP73&gt;0,AP73&lt;=Parameters!$B$35),1,IF(AP73&gt;Parameters!$B$36,-1,0)),0)</f>
        <v>0</v>
      </c>
      <c r="BT73" s="10" t="n">
        <f aca="false">IF(ISNUMBER(AY73),IF(AY73&gt;Parameters!$B$37,1,IF(AY73&lt;0,-1,0)),0)</f>
        <v>0</v>
      </c>
      <c r="BU73" s="10" t="n">
        <f aca="false">IF(ISNUMBER(AZ73),IF(AZ73&gt;0,1,0),0)</f>
        <v>0</v>
      </c>
      <c r="BV73" s="10" t="n">
        <f aca="false">IF(ISNUMBER(AL73),IF(AL73&gt;Parameters!$B$39,2,IF(AL73&gt;Parameters!$B$40,1,IF(AL73&lt;0,-2,IF(AL73&lt;Parameters!$B$41,-1,0)))),0)</f>
        <v>0</v>
      </c>
      <c r="BW73" s="10" t="n">
        <f aca="false">IF(ISNUMBER(AV73),IF(AV73&gt;Parameters!$B$42,1,IF(AV73&lt;Parameters!$B$43,-1,0)),0)</f>
        <v>0</v>
      </c>
      <c r="BX73" s="10" t="n">
        <f aca="false">IF(AND(ISNUMBER(AX73),AX73&gt;0),1,IF(AND(ISNUMBER(AY73),AY73&lt;Parameters!$B$44),-1,0))</f>
        <v>0</v>
      </c>
      <c r="BY73" s="10" t="n">
        <f aca="false">IF(ISNUMBER(AW73),IF(AW73&gt;0,1,0),0)</f>
        <v>0</v>
      </c>
      <c r="BZ73" s="10" t="n">
        <f aca="false">IF(ISNUMBER(AQ73),IF(AQ73&gt;Parameters!$B$46,-2,IF(AQ73&gt;Parameters!$B$45,-1,0)),0)</f>
        <v>0</v>
      </c>
      <c r="CA73" s="10" t="n">
        <f aca="false">IF(ISNUMBER(F73),IF(F73&gt;=Parameters!$B$47,1,IF(F73&lt;=Parameters!$B$48,-1,0)),0)</f>
        <v>0</v>
      </c>
      <c r="CB73" s="17" t="n">
        <f aca="false">IF(BF73="Established",BP73+BQ73+BR73+BS73+BT73+BU73,IF(BF73="Early",BV73+BW73+BX73+BY73+BZ73+CA73,0))</f>
        <v>0</v>
      </c>
      <c r="CC73" s="18" t="n">
        <f aca="false">IF(BF73="Established",BO73+CB73,IF(BF73="Early",BO73+Parameters!$B$50*CB73,BO73))</f>
        <v>-1</v>
      </c>
      <c r="CD73" s="17" t="n">
        <f aca="false">IF(BF73="Established",IF(CC73&gt;=Parameters!$B$51,6,IF(CC73&gt;=Parameters!$B$52,5,IF(CC73&gt;=Parameters!$B$53,4,IF(CC73&gt;=Parameters!$B$54,3,IF(CC73&gt;=Parameters!$B$55,2,1))))),IF(BF73="Early",IF(CC73&gt;=Parameters!$B$56,5,IF(CC73&gt;=Parameters!$B$57,4,IF(CC73&gt;=Parameters!$B$58,3,IF(CC73&gt;=Parameters!$B$59,2,1)))),IF(CC73&gt;=Parameters!$B$60,6,IF(CC73&gt;=Parameters!$B$61,5,IF(CC73&gt;=Parameters!$B$62,4,IF(CC73&gt;=Parameters!$B$63,3,IF(CC73&gt;=Parameters!$B$64,2,1)))))))</f>
        <v>2</v>
      </c>
      <c r="CE73" s="10" t="n">
        <f aca="false">IF(AND(ISNUMBER(AR73),AR73&lt;Parameters!$B$66),1,0)</f>
        <v>0</v>
      </c>
      <c r="CF73" s="10" t="n">
        <f aca="false">IF(AND(LEFT(AH73,5)="Death",ISNUMBER(AG73)),IF(BF73="Early",IF(AND(AG73&lt;Parameters!$B$70,ISNUMBER(U73),U73&lt;Parameters!$B$71),1,0),IF(AND(AG73&lt;Parameters!$B$67,OR(AND(ISNUMBER(U73),U73&lt;Parameters!$B$68),AND(ISNUMBER(V73),V73&lt;Parameters!$B$69))),1,0)),0)</f>
        <v>0</v>
      </c>
      <c r="CG73" s="10" t="n">
        <f aca="false">IF(AND(ISNUMBER(AG73),AG73&lt;0),1,0)</f>
        <v>1</v>
      </c>
      <c r="CH73" s="10" t="n">
        <f aca="false">IF(OR(AND(ISNUMBER(U73),U73&gt;Parameters!$B$74),AND(ISNUMBER(AF73),AF73&gt;Parameters!$B$75),AND(ISNUMBER(AE73),AE73&gt;Parameters!$B$76)),1,0)</f>
        <v>0</v>
      </c>
      <c r="CI73" s="10" t="n">
        <f aca="false">IF(AND(ISNUMBER(BC73),BC73&gt;=0,BC73&lt;=Parameters!$B$77),1,0)</f>
        <v>0</v>
      </c>
      <c r="CJ73" s="17" t="n">
        <f aca="false">IF(CF73=1,1,MIN(CD73,IF(CE73=1,3,6),IF(CG73=1,IF(BF73="Early",Parameters!$B$73,Parameters!$B$72),6),IF(CH73=1,3,6),IF(CI73=1,3,6)))</f>
        <v>2</v>
      </c>
      <c r="CK73" s="10" t="str">
        <f aca="false">INDEX(Parameters!$F$2:$F$7,CJ73)</f>
        <v>Avoid</v>
      </c>
      <c r="CL73" s="10" t="str">
        <f aca="false">IF(CF73=1,"Hard sell: breakdown; ","")&amp;IF(CE73=1,"Insufficient history; ","")&amp;IF(AND(CF73=0,CG73=1),"Below 200D; ","")&amp;IF(CH73=1,"Extended - wait for pullback; ","")&amp;IF(CI73=1,"Earnings within "&amp;Parameters!$B$77&amp;"d; ","")</f>
        <v>Below 200D; </v>
      </c>
    </row>
    <row r="74" customFormat="false" ht="15" hidden="false" customHeight="false" outlineLevel="0" collapsed="false">
      <c r="A74" s="10" t="s">
        <v>485</v>
      </c>
      <c r="B74" s="10" t="n">
        <v>4</v>
      </c>
      <c r="C74" s="10" t="n">
        <v>4</v>
      </c>
      <c r="D74" s="10" t="n">
        <v>35</v>
      </c>
      <c r="E74" s="10" t="n">
        <v>0.5</v>
      </c>
      <c r="F74" s="10" t="n">
        <v>4</v>
      </c>
      <c r="G74" s="10" t="s">
        <v>486</v>
      </c>
      <c r="H74" s="10" t="s">
        <v>386</v>
      </c>
      <c r="I74" s="10" t="n">
        <v>105.1</v>
      </c>
      <c r="J74" s="10" t="s">
        <v>295</v>
      </c>
      <c r="K74" s="10" t="s">
        <v>399</v>
      </c>
      <c r="L74" s="15" t="n">
        <v>179886241450</v>
      </c>
      <c r="M74" s="16" t="n">
        <v>46239</v>
      </c>
      <c r="N74" s="10" t="n">
        <v>11.35</v>
      </c>
      <c r="O74" s="16" t="n">
        <v>46330</v>
      </c>
      <c r="P74" s="10" t="s">
        <v>297</v>
      </c>
      <c r="Q74" s="10" t="n">
        <v>0.88</v>
      </c>
      <c r="R74" s="10" t="n">
        <v>-0.84</v>
      </c>
      <c r="S74" s="10" t="n">
        <v>-2.67</v>
      </c>
      <c r="T74" s="10" t="n">
        <v>-4.14</v>
      </c>
      <c r="U74" s="10" t="n">
        <v>1.51</v>
      </c>
      <c r="V74" s="10" t="n">
        <v>6.58</v>
      </c>
      <c r="W74" s="10" t="n">
        <v>4.17</v>
      </c>
      <c r="X74" s="10" t="n">
        <v>-10.46</v>
      </c>
      <c r="Y74" s="10"/>
      <c r="Z74" s="10"/>
      <c r="AA74" s="10"/>
      <c r="AB74" s="10"/>
      <c r="AC74" s="10" t="n">
        <v>1.94</v>
      </c>
      <c r="AD74" s="10" t="n">
        <v>-10.57</v>
      </c>
      <c r="AE74" s="10" t="n">
        <v>50.09</v>
      </c>
      <c r="AF74" s="10" t="n">
        <v>3.42</v>
      </c>
      <c r="AG74" s="10" t="n">
        <v>1.09</v>
      </c>
      <c r="AH74" s="10" t="s">
        <v>377</v>
      </c>
      <c r="AI74" s="10" t="n">
        <v>-0.7</v>
      </c>
      <c r="AJ74" s="10" t="n">
        <v>-25.02</v>
      </c>
      <c r="AK74" s="10" t="n">
        <v>-49.9</v>
      </c>
      <c r="AL74" s="10" t="n">
        <v>6.8</v>
      </c>
      <c r="AM74" s="10" t="n">
        <v>8.7</v>
      </c>
      <c r="AN74" s="10" t="n">
        <v>8.01</v>
      </c>
      <c r="AO74" s="10" t="n">
        <v>13.99</v>
      </c>
      <c r="AP74" s="10" t="n">
        <v>-0.45</v>
      </c>
      <c r="AQ74" s="10" t="n">
        <v>1.1</v>
      </c>
      <c r="AR74" s="10" t="n">
        <v>300</v>
      </c>
      <c r="AS74" s="16" t="n">
        <v>46275</v>
      </c>
      <c r="AT74" s="15" t="n">
        <v>98860998656</v>
      </c>
      <c r="AU74" s="15" t="n">
        <v>37167001600</v>
      </c>
      <c r="AV74" s="10" t="n">
        <v>37.6</v>
      </c>
      <c r="AW74" s="15" t="n">
        <v>8600000512</v>
      </c>
      <c r="AX74" s="15" t="n">
        <v>4860375040</v>
      </c>
      <c r="AY74" s="10" t="n">
        <v>4.92</v>
      </c>
      <c r="AZ74" s="15" t="n">
        <v>-40856002048</v>
      </c>
      <c r="BA74" s="10" t="n">
        <v>14</v>
      </c>
      <c r="BB74" s="10" t="n">
        <v>50.97</v>
      </c>
      <c r="BC74" s="17" t="n">
        <f aca="false">IF(AND(ISNUMBER(O74),ISNUMBER(AS74)),O74-AS74,"")</f>
        <v>55</v>
      </c>
      <c r="BD74" s="10" t="n">
        <f aca="false">IF(OR(ISNUMBER(SEARCH("ETF",H74)),AND(F74="",AO74="")),1,0)</f>
        <v>0</v>
      </c>
      <c r="BE74" s="17" t="n">
        <f aca="false">IF(ISNUMBER(L74),IF(L74&gt;=Parameters!$B$3,2,IF(L74&gt;=Parameters!$B$4,1,0)),0)+IF(ISNUMBER(AW74),IF(AW74&gt;0,IF(AND(ISNUMBER(AM74),AM74&gt;=Parameters!$B$5),2,1),0),0)+IF(ISNUMBER(AX74),IF(AND(AX74&gt;0,ISNUMBER(AY74),AY74&gt;=Parameters!$B$6),1,0),0)+IF(ISNUMBER(AO74),IF(AND(AO74&gt;0,AO74&lt;=Parameters!$B$7),1,0),0)+IF(ISNUMBER(F74),IF(F74&gt;=Parameters!$B$8,1,0),0)</f>
        <v>5</v>
      </c>
      <c r="BF74" s="10" t="str">
        <f aca="false">IF(BD74=1,"ETF",IF(OR(AND(ISNUMBER(L74),L74&gt;=Parameters!$B$10),BE74&gt;=Parameters!$B$9),"Established","Early"))</f>
        <v>Established</v>
      </c>
      <c r="BG74" s="10" t="n">
        <f aca="false">IF(LEFT(AH74,6)="Golden",2,IF(LEFT(AH74,5)="Death",-2,0))</f>
        <v>-2</v>
      </c>
      <c r="BH74" s="10" t="n">
        <f aca="false">IF(ISNUMBER(AG74),IF(AG74&gt;Parameters!$B$12,2,IF(AG74&gt;0,1,IF(AG74&gt;=Parameters!$B$13,-1,-2))),0)</f>
        <v>1</v>
      </c>
      <c r="BI74" s="10" t="n">
        <f aca="false">IF(ISNUMBER(AF74),IF(AND(AF74&gt;=Parameters!$B$14,AF74&lt;=Parameters!$B$15),1,IF(OR(AF74&gt;Parameters!$B$16,AF74&lt;Parameters!$B$17),-1,0)),0)</f>
        <v>1</v>
      </c>
      <c r="BJ74" s="10" t="n">
        <f aca="false">IF(ISNUMBER(AE74),IF(AND(AE74&gt;=Parameters!$B$18,AE74&lt;=Parameters!$B$19),1,IF(OR(AE74&gt;Parameters!$B$20,AE74&lt;Parameters!$B$21),-1,0)),0)</f>
        <v>1</v>
      </c>
      <c r="BK74" s="10" t="n">
        <f aca="false">IF(ISNUMBER(E74),IF(E74&gt;Parameters!$B$22,1,IF(E74&lt;Parameters!$B$23,-1,0)),0)</f>
        <v>0</v>
      </c>
      <c r="BL74" s="10" t="n">
        <f aca="false">IF(ISNUMBER(C74),IF(C74&gt;=Parameters!$B$24,1,IF(C74&lt;=Parameters!$B$25,-1,0)),0)</f>
        <v>0</v>
      </c>
      <c r="BM74" s="10" t="n">
        <f aca="false">IF(ISNUMBER(AJ74),IF(AND(AJ74&gt;Parameters!$B$26,ISNUMBER(U74)),IF(U74&lt;0,-1,1),0),0)</f>
        <v>0</v>
      </c>
      <c r="BN74" s="10" t="n">
        <f aca="false">IF(ISNUMBER(AD74),IF(AD74&gt;Parameters!$B$27,1,IF(AD74&lt;Parameters!$B$28,-1,0)),0)</f>
        <v>0</v>
      </c>
      <c r="BO74" s="17" t="n">
        <f aca="false">BG74+BH74+BI74+BJ74+BK74+BL74+BM74+BN74</f>
        <v>1</v>
      </c>
      <c r="BP74" s="10" t="n">
        <f aca="false">IF(ISNUMBER(F74),IF(F74&gt;=Parameters!$B$30,2,IF(F74&gt;=Parameters!$B$31,1,IF(F74&lt;=Parameters!$B$32,-1,0))),0)</f>
        <v>-1</v>
      </c>
      <c r="BQ74" s="10" t="n">
        <f aca="false">IF(ISNUMBER(AK74),IF(AK74&gt;Parameters!$B$33,1,IF(AK74&lt;0,-1,0)),0)</f>
        <v>-1</v>
      </c>
      <c r="BR74" s="10" t="n">
        <f aca="false">IF(ISNUMBER(AL74),IF(AL74&gt;Parameters!$B$34,1,IF(AL74&lt;0,-1,0)),0)</f>
        <v>0</v>
      </c>
      <c r="BS74" s="10" t="n">
        <f aca="false">IF(ISNUMBER(AP74),IF(AND(AP74&gt;0,AP74&lt;=Parameters!$B$35),1,IF(AP74&gt;Parameters!$B$36,-1,0)),0)</f>
        <v>0</v>
      </c>
      <c r="BT74" s="10" t="n">
        <f aca="false">IF(ISNUMBER(AY74),IF(AY74&gt;Parameters!$B$37,1,IF(AY74&lt;0,-1,0)),0)</f>
        <v>0</v>
      </c>
      <c r="BU74" s="10" t="n">
        <f aca="false">IF(ISNUMBER(AZ74),IF(AZ74&gt;0,1,0),0)</f>
        <v>0</v>
      </c>
      <c r="BV74" s="10" t="n">
        <f aca="false">IF(ISNUMBER(AL74),IF(AL74&gt;Parameters!$B$39,2,IF(AL74&gt;Parameters!$B$40,1,IF(AL74&lt;0,-2,IF(AL74&lt;Parameters!$B$41,-1,0)))),0)</f>
        <v>0</v>
      </c>
      <c r="BW74" s="10" t="n">
        <f aca="false">IF(ISNUMBER(AV74),IF(AV74&gt;Parameters!$B$42,1,IF(AV74&lt;Parameters!$B$43,-1,0)),0)</f>
        <v>0</v>
      </c>
      <c r="BX74" s="10" t="n">
        <f aca="false">IF(AND(ISNUMBER(AX74),AX74&gt;0),1,IF(AND(ISNUMBER(AY74),AY74&lt;Parameters!$B$44),-1,0))</f>
        <v>1</v>
      </c>
      <c r="BY74" s="10" t="n">
        <f aca="false">IF(ISNUMBER(AW74),IF(AW74&gt;0,1,0),0)</f>
        <v>1</v>
      </c>
      <c r="BZ74" s="10" t="n">
        <f aca="false">IF(ISNUMBER(AQ74),IF(AQ74&gt;Parameters!$B$46,-2,IF(AQ74&gt;Parameters!$B$45,-1,0)),0)</f>
        <v>0</v>
      </c>
      <c r="CA74" s="10" t="n">
        <f aca="false">IF(ISNUMBER(F74),IF(F74&gt;=Parameters!$B$47,1,IF(F74&lt;=Parameters!$B$48,-1,0)),0)</f>
        <v>0</v>
      </c>
      <c r="CB74" s="17" t="n">
        <f aca="false">IF(BF74="Established",BP74+BQ74+BR74+BS74+BT74+BU74,IF(BF74="Early",BV74+BW74+BX74+BY74+BZ74+CA74,0))</f>
        <v>-2</v>
      </c>
      <c r="CC74" s="18" t="n">
        <f aca="false">IF(BF74="Established",BO74+CB74,IF(BF74="Early",BO74+Parameters!$B$50*CB74,BO74))</f>
        <v>-1</v>
      </c>
      <c r="CD74" s="17" t="n">
        <f aca="false">IF(BF74="Established",IF(CC74&gt;=Parameters!$B$51,6,IF(CC74&gt;=Parameters!$B$52,5,IF(CC74&gt;=Parameters!$B$53,4,IF(CC74&gt;=Parameters!$B$54,3,IF(CC74&gt;=Parameters!$B$55,2,1))))),IF(BF74="Early",IF(CC74&gt;=Parameters!$B$56,5,IF(CC74&gt;=Parameters!$B$57,4,IF(CC74&gt;=Parameters!$B$58,3,IF(CC74&gt;=Parameters!$B$59,2,1)))),IF(CC74&gt;=Parameters!$B$60,6,IF(CC74&gt;=Parameters!$B$61,5,IF(CC74&gt;=Parameters!$B$62,4,IF(CC74&gt;=Parameters!$B$63,3,IF(CC74&gt;=Parameters!$B$64,2,1)))))))</f>
        <v>2</v>
      </c>
      <c r="CE74" s="10" t="n">
        <f aca="false">IF(AND(ISNUMBER(AR74),AR74&lt;Parameters!$B$66),1,0)</f>
        <v>0</v>
      </c>
      <c r="CF74" s="10" t="n">
        <f aca="false">IF(AND(LEFT(AH74,5)="Death",ISNUMBER(AG74)),IF(BF74="Early",IF(AND(AG74&lt;Parameters!$B$70,ISNUMBER(U74),U74&lt;Parameters!$B$71),1,0),IF(AND(AG74&lt;Parameters!$B$67,OR(AND(ISNUMBER(U74),U74&lt;Parameters!$B$68),AND(ISNUMBER(V74),V74&lt;Parameters!$B$69))),1,0)),0)</f>
        <v>0</v>
      </c>
      <c r="CG74" s="10" t="n">
        <f aca="false">IF(AND(ISNUMBER(AG74),AG74&lt;0),1,0)</f>
        <v>0</v>
      </c>
      <c r="CH74" s="10" t="n">
        <f aca="false">IF(OR(AND(ISNUMBER(U74),U74&gt;Parameters!$B$74),AND(ISNUMBER(AF74),AF74&gt;Parameters!$B$75),AND(ISNUMBER(AE74),AE74&gt;Parameters!$B$76)),1,0)</f>
        <v>0</v>
      </c>
      <c r="CI74" s="10" t="n">
        <f aca="false">IF(AND(ISNUMBER(BC74),BC74&gt;=0,BC74&lt;=Parameters!$B$77),1,0)</f>
        <v>0</v>
      </c>
      <c r="CJ74" s="17" t="n">
        <f aca="false">IF(CF74=1,1,MIN(CD74,IF(CE74=1,3,6),IF(CG74=1,IF(BF74="Early",Parameters!$B$73,Parameters!$B$72),6),IF(CH74=1,3,6),IF(CI74=1,3,6)))</f>
        <v>2</v>
      </c>
      <c r="CK74" s="10" t="str">
        <f aca="false">INDEX(Parameters!$F$2:$F$7,CJ74)</f>
        <v>Avoid</v>
      </c>
      <c r="CL74" s="10" t="str">
        <f aca="false">IF(CF74=1,"Hard sell: breakdown; ","")&amp;IF(CE74=1,"Insufficient history; ","")&amp;IF(AND(CF74=0,CG74=1),"Below 200D; ","")&amp;IF(CH74=1,"Extended - wait for pullback; ","")&amp;IF(CI74=1,"Earnings within "&amp;Parameters!$B$77&amp;"d; ","")</f>
        <v/>
      </c>
    </row>
    <row r="75" customFormat="false" ht="15" hidden="false" customHeight="false" outlineLevel="0" collapsed="false">
      <c r="A75" s="10" t="s">
        <v>487</v>
      </c>
      <c r="B75" s="10" t="n">
        <v>4</v>
      </c>
      <c r="C75" s="10" t="n">
        <v>3</v>
      </c>
      <c r="D75" s="10" t="n">
        <v>17.2</v>
      </c>
      <c r="E75" s="10" t="n">
        <v>8.2</v>
      </c>
      <c r="F75" s="10" t="n">
        <v>5</v>
      </c>
      <c r="G75" s="10" t="s">
        <v>488</v>
      </c>
      <c r="H75" s="10" t="s">
        <v>349</v>
      </c>
      <c r="I75" s="10" t="n">
        <v>89.96</v>
      </c>
      <c r="J75" s="10" t="s">
        <v>295</v>
      </c>
      <c r="K75" s="10" t="s">
        <v>296</v>
      </c>
      <c r="L75" s="15" t="n">
        <v>52362884993</v>
      </c>
      <c r="M75" s="16" t="n">
        <v>46245</v>
      </c>
      <c r="N75" s="10" t="n">
        <v>-22.45</v>
      </c>
      <c r="O75" s="16" t="n">
        <v>46336</v>
      </c>
      <c r="P75" s="10" t="s">
        <v>297</v>
      </c>
      <c r="Q75" s="10" t="n">
        <v>-5.25</v>
      </c>
      <c r="R75" s="10" t="n">
        <v>-4.9</v>
      </c>
      <c r="S75" s="10" t="n">
        <v>11.16</v>
      </c>
      <c r="T75" s="10" t="n">
        <v>2.22</v>
      </c>
      <c r="U75" s="10" t="n">
        <v>-0.4</v>
      </c>
      <c r="V75" s="10" t="n">
        <v>-5.91</v>
      </c>
      <c r="W75" s="10" t="n">
        <v>9.76</v>
      </c>
      <c r="X75" s="10" t="n">
        <v>-10.24</v>
      </c>
      <c r="Y75" s="10"/>
      <c r="Z75" s="10"/>
      <c r="AA75" s="10"/>
      <c r="AB75" s="10"/>
      <c r="AC75" s="10" t="n">
        <v>-10.55</v>
      </c>
      <c r="AD75" s="10" t="n">
        <v>-41.28</v>
      </c>
      <c r="AE75" s="10" t="n">
        <v>50.9</v>
      </c>
      <c r="AF75" s="10" t="n">
        <v>5.24</v>
      </c>
      <c r="AG75" s="10" t="n">
        <v>-2</v>
      </c>
      <c r="AH75" s="10" t="s">
        <v>427</v>
      </c>
      <c r="AI75" s="10" t="n">
        <v>0.5</v>
      </c>
      <c r="AJ75" s="10" t="n">
        <v>3.94</v>
      </c>
      <c r="AK75" s="10" t="n">
        <v>112.32</v>
      </c>
      <c r="AL75" s="10" t="n">
        <v>112.5</v>
      </c>
      <c r="AM75" s="10" t="n">
        <v>-25.4</v>
      </c>
      <c r="AN75" s="10" t="n">
        <v>-43.6</v>
      </c>
      <c r="AO75" s="10" t="n">
        <v>-49</v>
      </c>
      <c r="AP75" s="10" t="n">
        <v>-0.38</v>
      </c>
      <c r="AQ75" s="10" t="n">
        <v>17.96</v>
      </c>
      <c r="AR75" s="10" t="n">
        <v>300</v>
      </c>
      <c r="AS75" s="16" t="n">
        <v>46275</v>
      </c>
      <c r="AT75" s="15" t="n">
        <v>7590000128</v>
      </c>
      <c r="AU75" s="15" t="n">
        <v>5117000192</v>
      </c>
      <c r="AV75" s="10" t="n">
        <v>67.42</v>
      </c>
      <c r="AW75" s="15" t="n">
        <v>-1928000000</v>
      </c>
      <c r="AX75" s="15" t="n">
        <v>-9088615424</v>
      </c>
      <c r="AY75" s="10" t="n">
        <v>-119.74</v>
      </c>
      <c r="AZ75" s="15" t="n">
        <v>-46073999872</v>
      </c>
      <c r="BA75" s="10" t="n">
        <v>48.57</v>
      </c>
      <c r="BB75" s="10" t="n">
        <v>31.74</v>
      </c>
      <c r="BC75" s="17" t="n">
        <f aca="false">IF(AND(ISNUMBER(O75),ISNUMBER(AS75)),O75-AS75,"")</f>
        <v>61</v>
      </c>
      <c r="BD75" s="10" t="n">
        <f aca="false">IF(OR(ISNUMBER(SEARCH("ETF",H75)),AND(F75="",AO75="")),1,0)</f>
        <v>0</v>
      </c>
      <c r="BE75" s="17" t="n">
        <f aca="false">IF(ISNUMBER(L75),IF(L75&gt;=Parameters!$B$3,2,IF(L75&gt;=Parameters!$B$4,1,0)),0)+IF(ISNUMBER(AW75),IF(AW75&gt;0,IF(AND(ISNUMBER(AM75),AM75&gt;=Parameters!$B$5),2,1),0),0)+IF(ISNUMBER(AX75),IF(AND(AX75&gt;0,ISNUMBER(AY75),AY75&gt;=Parameters!$B$6),1,0),0)+IF(ISNUMBER(AO75),IF(AND(AO75&gt;0,AO75&lt;=Parameters!$B$7),1,0),0)+IF(ISNUMBER(F75),IF(F75&gt;=Parameters!$B$8,1,0),0)</f>
        <v>1</v>
      </c>
      <c r="BF75" s="10" t="str">
        <f aca="false">IF(BD75=1,"ETF",IF(OR(AND(ISNUMBER(L75),L75&gt;=Parameters!$B$10),BE75&gt;=Parameters!$B$9),"Established","Early"))</f>
        <v>Early</v>
      </c>
      <c r="BG75" s="10" t="n">
        <f aca="false">IF(LEFT(AH75,6)="Golden",2,IF(LEFT(AH75,5)="Death",-2,0))</f>
        <v>-2</v>
      </c>
      <c r="BH75" s="10" t="n">
        <f aca="false">IF(ISNUMBER(AG75),IF(AG75&gt;Parameters!$B$12,2,IF(AG75&gt;0,1,IF(AG75&gt;=Parameters!$B$13,-1,-2))),0)</f>
        <v>-1</v>
      </c>
      <c r="BI75" s="10" t="n">
        <f aca="false">IF(ISNUMBER(AF75),IF(AND(AF75&gt;=Parameters!$B$14,AF75&lt;=Parameters!$B$15),1,IF(OR(AF75&gt;Parameters!$B$16,AF75&lt;Parameters!$B$17),-1,0)),0)</f>
        <v>1</v>
      </c>
      <c r="BJ75" s="10" t="n">
        <f aca="false">IF(ISNUMBER(AE75),IF(AND(AE75&gt;=Parameters!$B$18,AE75&lt;=Parameters!$B$19),1,IF(OR(AE75&gt;Parameters!$B$20,AE75&lt;Parameters!$B$21),-1,0)),0)</f>
        <v>1</v>
      </c>
      <c r="BK75" s="10" t="n">
        <f aca="false">IF(ISNUMBER(E75),IF(E75&gt;Parameters!$B$22,1,IF(E75&lt;Parameters!$B$23,-1,0)),0)</f>
        <v>1</v>
      </c>
      <c r="BL75" s="10" t="n">
        <f aca="false">IF(ISNUMBER(C75),IF(C75&gt;=Parameters!$B$24,1,IF(C75&lt;=Parameters!$B$25,-1,0)),0)</f>
        <v>-1</v>
      </c>
      <c r="BM75" s="10" t="n">
        <f aca="false">IF(ISNUMBER(AJ75),IF(AND(AJ75&gt;Parameters!$B$26,ISNUMBER(U75)),IF(U75&lt;0,-1,1),0),0)</f>
        <v>0</v>
      </c>
      <c r="BN75" s="10" t="n">
        <f aca="false">IF(ISNUMBER(AD75),IF(AD75&gt;Parameters!$B$27,1,IF(AD75&lt;Parameters!$B$28,-1,0)),0)</f>
        <v>-1</v>
      </c>
      <c r="BO75" s="17" t="n">
        <f aca="false">BG75+BH75+BI75+BJ75+BK75+BL75+BM75+BN75</f>
        <v>-2</v>
      </c>
      <c r="BP75" s="10" t="n">
        <f aca="false">IF(ISNUMBER(F75),IF(F75&gt;=Parameters!$B$30,2,IF(F75&gt;=Parameters!$B$31,1,IF(F75&lt;=Parameters!$B$32,-1,0))),0)</f>
        <v>0</v>
      </c>
      <c r="BQ75" s="10" t="n">
        <f aca="false">IF(ISNUMBER(AK75),IF(AK75&gt;Parameters!$B$33,1,IF(AK75&lt;0,-1,0)),0)</f>
        <v>1</v>
      </c>
      <c r="BR75" s="10" t="n">
        <f aca="false">IF(ISNUMBER(AL75),IF(AL75&gt;Parameters!$B$34,1,IF(AL75&lt;0,-1,0)),0)</f>
        <v>1</v>
      </c>
      <c r="BS75" s="10" t="n">
        <f aca="false">IF(ISNUMBER(AP75),IF(AND(AP75&gt;0,AP75&lt;=Parameters!$B$35),1,IF(AP75&gt;Parameters!$B$36,-1,0)),0)</f>
        <v>0</v>
      </c>
      <c r="BT75" s="10" t="n">
        <f aca="false">IF(ISNUMBER(AY75),IF(AY75&gt;Parameters!$B$37,1,IF(AY75&lt;0,-1,0)),0)</f>
        <v>-1</v>
      </c>
      <c r="BU75" s="10" t="n">
        <f aca="false">IF(ISNUMBER(AZ75),IF(AZ75&gt;0,1,0),0)</f>
        <v>0</v>
      </c>
      <c r="BV75" s="10" t="n">
        <f aca="false">IF(ISNUMBER(AL75),IF(AL75&gt;Parameters!$B$39,2,IF(AL75&gt;Parameters!$B$40,1,IF(AL75&lt;0,-2,IF(AL75&lt;Parameters!$B$41,-1,0)))),0)</f>
        <v>2</v>
      </c>
      <c r="BW75" s="10" t="n">
        <f aca="false">IF(ISNUMBER(AV75),IF(AV75&gt;Parameters!$B$42,1,IF(AV75&lt;Parameters!$B$43,-1,0)),0)</f>
        <v>1</v>
      </c>
      <c r="BX75" s="10" t="n">
        <f aca="false">IF(AND(ISNUMBER(AX75),AX75&gt;0),1,IF(AND(ISNUMBER(AY75),AY75&lt;Parameters!$B$44),-1,0))</f>
        <v>-1</v>
      </c>
      <c r="BY75" s="10" t="n">
        <f aca="false">IF(ISNUMBER(AW75),IF(AW75&gt;0,1,0),0)</f>
        <v>0</v>
      </c>
      <c r="BZ75" s="10" t="n">
        <f aca="false">IF(ISNUMBER(AQ75),IF(AQ75&gt;Parameters!$B$46,-2,IF(AQ75&gt;Parameters!$B$45,-1,0)),0)</f>
        <v>-1</v>
      </c>
      <c r="CA75" s="10" t="n">
        <f aca="false">IF(ISNUMBER(F75),IF(F75&gt;=Parameters!$B$47,1,IF(F75&lt;=Parameters!$B$48,-1,0)),0)</f>
        <v>0</v>
      </c>
      <c r="CB75" s="17" t="n">
        <f aca="false">IF(BF75="Established",BP75+BQ75+BR75+BS75+BT75+BU75,IF(BF75="Early",BV75+BW75+BX75+BY75+BZ75+CA75,0))</f>
        <v>1</v>
      </c>
      <c r="CC75" s="18" t="n">
        <f aca="false">IF(BF75="Established",BO75+CB75,IF(BF75="Early",BO75+Parameters!$B$50*CB75,BO75))</f>
        <v>-1.5</v>
      </c>
      <c r="CD75" s="17" t="n">
        <f aca="false">IF(BF75="Established",IF(CC75&gt;=Parameters!$B$51,6,IF(CC75&gt;=Parameters!$B$52,5,IF(CC75&gt;=Parameters!$B$53,4,IF(CC75&gt;=Parameters!$B$54,3,IF(CC75&gt;=Parameters!$B$55,2,1))))),IF(BF75="Early",IF(CC75&gt;=Parameters!$B$56,5,IF(CC75&gt;=Parameters!$B$57,4,IF(CC75&gt;=Parameters!$B$58,3,IF(CC75&gt;=Parameters!$B$59,2,1)))),IF(CC75&gt;=Parameters!$B$60,6,IF(CC75&gt;=Parameters!$B$61,5,IF(CC75&gt;=Parameters!$B$62,4,IF(CC75&gt;=Parameters!$B$63,3,IF(CC75&gt;=Parameters!$B$64,2,1)))))))</f>
        <v>2</v>
      </c>
      <c r="CE75" s="10" t="n">
        <f aca="false">IF(AND(ISNUMBER(AR75),AR75&lt;Parameters!$B$66),1,0)</f>
        <v>0</v>
      </c>
      <c r="CF75" s="10" t="n">
        <f aca="false">IF(AND(LEFT(AH75,5)="Death",ISNUMBER(AG75)),IF(BF75="Early",IF(AND(AG75&lt;Parameters!$B$70,ISNUMBER(U75),U75&lt;Parameters!$B$71),1,0),IF(AND(AG75&lt;Parameters!$B$67,OR(AND(ISNUMBER(U75),U75&lt;Parameters!$B$68),AND(ISNUMBER(V75),V75&lt;Parameters!$B$69))),1,0)),0)</f>
        <v>0</v>
      </c>
      <c r="CG75" s="10" t="n">
        <f aca="false">IF(AND(ISNUMBER(AG75),AG75&lt;0),1,0)</f>
        <v>1</v>
      </c>
      <c r="CH75" s="10" t="n">
        <f aca="false">IF(OR(AND(ISNUMBER(U75),U75&gt;Parameters!$B$74),AND(ISNUMBER(AF75),AF75&gt;Parameters!$B$75),AND(ISNUMBER(AE75),AE75&gt;Parameters!$B$76)),1,0)</f>
        <v>0</v>
      </c>
      <c r="CI75" s="10" t="n">
        <f aca="false">IF(AND(ISNUMBER(BC75),BC75&gt;=0,BC75&lt;=Parameters!$B$77),1,0)</f>
        <v>0</v>
      </c>
      <c r="CJ75" s="17" t="n">
        <f aca="false">IF(CF75=1,1,MIN(CD75,IF(CE75=1,3,6),IF(CG75=1,IF(BF75="Early",Parameters!$B$73,Parameters!$B$72),6),IF(CH75=1,3,6),IF(CI75=1,3,6)))</f>
        <v>2</v>
      </c>
      <c r="CK75" s="10" t="str">
        <f aca="false">INDEX(Parameters!$F$2:$F$7,CJ75)</f>
        <v>Avoid</v>
      </c>
      <c r="CL75" s="10" t="str">
        <f aca="false">IF(CF75=1,"Hard sell: breakdown; ","")&amp;IF(CE75=1,"Insufficient history; ","")&amp;IF(AND(CF75=0,CG75=1),"Below 200D; ","")&amp;IF(CH75=1,"Extended - wait for pullback; ","")&amp;IF(CI75=1,"Earnings within "&amp;Parameters!$B$77&amp;"d; ","")</f>
        <v>Below 200D; </v>
      </c>
    </row>
    <row r="76" customFormat="false" ht="15" hidden="false" customHeight="false" outlineLevel="0" collapsed="false">
      <c r="A76" s="10" t="s">
        <v>489</v>
      </c>
      <c r="B76" s="10" t="n">
        <v>4</v>
      </c>
      <c r="C76" s="10" t="n">
        <v>3</v>
      </c>
      <c r="D76" s="10" t="n">
        <v>16.7</v>
      </c>
      <c r="E76" s="10" t="n">
        <v>5.5</v>
      </c>
      <c r="F76" s="10" t="n">
        <v>5</v>
      </c>
      <c r="G76" s="10" t="s">
        <v>490</v>
      </c>
      <c r="H76" s="10" t="s">
        <v>349</v>
      </c>
      <c r="I76" s="10" t="n">
        <v>154.44</v>
      </c>
      <c r="J76" s="10" t="s">
        <v>295</v>
      </c>
      <c r="K76" s="10" t="s">
        <v>360</v>
      </c>
      <c r="L76" s="15" t="n">
        <v>7155824192</v>
      </c>
      <c r="M76" s="16" t="n">
        <v>46212</v>
      </c>
      <c r="N76" s="10" t="n">
        <v>-150</v>
      </c>
      <c r="O76" s="16" t="n">
        <v>46303</v>
      </c>
      <c r="P76" s="10" t="s">
        <v>297</v>
      </c>
      <c r="Q76" s="10" t="n">
        <v>9.69</v>
      </c>
      <c r="R76" s="10" t="n">
        <v>-5.36</v>
      </c>
      <c r="S76" s="10" t="n">
        <v>6.22</v>
      </c>
      <c r="T76" s="10" t="n">
        <v>5.15</v>
      </c>
      <c r="U76" s="10" t="n">
        <v>-21.21</v>
      </c>
      <c r="V76" s="10" t="n">
        <v>-10.69</v>
      </c>
      <c r="W76" s="10" t="n">
        <v>-25.65</v>
      </c>
      <c r="X76" s="10" t="n">
        <v>-33.14</v>
      </c>
      <c r="Y76" s="10"/>
      <c r="Z76" s="10"/>
      <c r="AA76" s="10"/>
      <c r="AB76" s="10"/>
      <c r="AC76" s="10" t="n">
        <v>-15.33</v>
      </c>
      <c r="AD76" s="10" t="n">
        <v>-63.04</v>
      </c>
      <c r="AE76" s="10" t="n">
        <v>49.06</v>
      </c>
      <c r="AF76" s="10" t="n">
        <v>-2.87</v>
      </c>
      <c r="AG76" s="10" t="n">
        <v>-26.64</v>
      </c>
      <c r="AH76" s="10" t="s">
        <v>377</v>
      </c>
      <c r="AI76" s="10" t="n">
        <v>-0.69</v>
      </c>
      <c r="AJ76" s="10" t="n">
        <v>53.92</v>
      </c>
      <c r="AK76" s="10" t="n">
        <v>133.27</v>
      </c>
      <c r="AL76" s="10" t="n">
        <v>133.3</v>
      </c>
      <c r="AM76" s="10" t="n">
        <v>-13.41</v>
      </c>
      <c r="AN76" s="10" t="n">
        <v>-10.03</v>
      </c>
      <c r="AO76" s="10" t="n">
        <v>34.24</v>
      </c>
      <c r="AP76" s="10" t="n">
        <v>1.33</v>
      </c>
      <c r="AQ76" s="10" t="n">
        <v>9.68</v>
      </c>
      <c r="AR76" s="10" t="n">
        <v>300</v>
      </c>
      <c r="AS76" s="16" t="n">
        <v>46275</v>
      </c>
      <c r="AT76" s="15" t="n">
        <v>1976845056</v>
      </c>
      <c r="AU76" s="15" t="n">
        <v>500641984</v>
      </c>
      <c r="AV76" s="10" t="n">
        <v>25.33</v>
      </c>
      <c r="AW76" s="15" t="n">
        <v>-265122000</v>
      </c>
      <c r="AX76" s="15" t="n">
        <v>-251387504</v>
      </c>
      <c r="AY76" s="10" t="n">
        <v>-12.72</v>
      </c>
      <c r="AZ76" s="15" t="n">
        <v>-202491968</v>
      </c>
      <c r="BA76" s="10" t="n">
        <v>14.23</v>
      </c>
      <c r="BB76" s="10" t="n">
        <v>6.81</v>
      </c>
      <c r="BC76" s="17" t="n">
        <f aca="false">IF(AND(ISNUMBER(O76),ISNUMBER(AS76)),O76-AS76,"")</f>
        <v>28</v>
      </c>
      <c r="BD76" s="10" t="n">
        <f aca="false">IF(OR(ISNUMBER(SEARCH("ETF",H76)),AND(F76="",AO76="")),1,0)</f>
        <v>0</v>
      </c>
      <c r="BE76" s="17" t="n">
        <f aca="false">IF(ISNUMBER(L76),IF(L76&gt;=Parameters!$B$3,2,IF(L76&gt;=Parameters!$B$4,1,0)),0)+IF(ISNUMBER(AW76),IF(AW76&gt;0,IF(AND(ISNUMBER(AM76),AM76&gt;=Parameters!$B$5),2,1),0),0)+IF(ISNUMBER(AX76),IF(AND(AX76&gt;0,ISNUMBER(AY76),AY76&gt;=Parameters!$B$6),1,0),0)+IF(ISNUMBER(AO76),IF(AND(AO76&gt;0,AO76&lt;=Parameters!$B$7),1,0),0)+IF(ISNUMBER(F76),IF(F76&gt;=Parameters!$B$8,1,0),0)</f>
        <v>1</v>
      </c>
      <c r="BF76" s="10" t="str">
        <f aca="false">IF(BD76=1,"ETF",IF(OR(AND(ISNUMBER(L76),L76&gt;=Parameters!$B$10),BE76&gt;=Parameters!$B$9),"Established","Early"))</f>
        <v>Early</v>
      </c>
      <c r="BG76" s="10" t="n">
        <f aca="false">IF(LEFT(AH76,6)="Golden",2,IF(LEFT(AH76,5)="Death",-2,0))</f>
        <v>-2</v>
      </c>
      <c r="BH76" s="10" t="n">
        <f aca="false">IF(ISNUMBER(AG76),IF(AG76&gt;Parameters!$B$12,2,IF(AG76&gt;0,1,IF(AG76&gt;=Parameters!$B$13,-1,-2))),0)</f>
        <v>-2</v>
      </c>
      <c r="BI76" s="10" t="n">
        <f aca="false">IF(ISNUMBER(AF76),IF(AND(AF76&gt;=Parameters!$B$14,AF76&lt;=Parameters!$B$15),1,IF(OR(AF76&gt;Parameters!$B$16,AF76&lt;Parameters!$B$17),-1,0)),0)</f>
        <v>1</v>
      </c>
      <c r="BJ76" s="10" t="n">
        <f aca="false">IF(ISNUMBER(AE76),IF(AND(AE76&gt;=Parameters!$B$18,AE76&lt;=Parameters!$B$19),1,IF(OR(AE76&gt;Parameters!$B$20,AE76&lt;Parameters!$B$21),-1,0)),0)</f>
        <v>1</v>
      </c>
      <c r="BK76" s="10" t="n">
        <f aca="false">IF(ISNUMBER(E76),IF(E76&gt;Parameters!$B$22,1,IF(E76&lt;Parameters!$B$23,-1,0)),0)</f>
        <v>1</v>
      </c>
      <c r="BL76" s="10" t="n">
        <f aca="false">IF(ISNUMBER(C76),IF(C76&gt;=Parameters!$B$24,1,IF(C76&lt;=Parameters!$B$25,-1,0)),0)</f>
        <v>-1</v>
      </c>
      <c r="BM76" s="10" t="n">
        <f aca="false">IF(ISNUMBER(AJ76),IF(AND(AJ76&gt;Parameters!$B$26,ISNUMBER(U76)),IF(U76&lt;0,-1,1),0),0)</f>
        <v>-1</v>
      </c>
      <c r="BN76" s="10" t="n">
        <f aca="false">IF(ISNUMBER(AD76),IF(AD76&gt;Parameters!$B$27,1,IF(AD76&lt;Parameters!$B$28,-1,0)),0)</f>
        <v>-1</v>
      </c>
      <c r="BO76" s="17" t="n">
        <f aca="false">BG76+BH76+BI76+BJ76+BK76+BL76+BM76+BN76</f>
        <v>-4</v>
      </c>
      <c r="BP76" s="10" t="n">
        <f aca="false">IF(ISNUMBER(F76),IF(F76&gt;=Parameters!$B$30,2,IF(F76&gt;=Parameters!$B$31,1,IF(F76&lt;=Parameters!$B$32,-1,0))),0)</f>
        <v>0</v>
      </c>
      <c r="BQ76" s="10" t="n">
        <f aca="false">IF(ISNUMBER(AK76),IF(AK76&gt;Parameters!$B$33,1,IF(AK76&lt;0,-1,0)),0)</f>
        <v>1</v>
      </c>
      <c r="BR76" s="10" t="n">
        <f aca="false">IF(ISNUMBER(AL76),IF(AL76&gt;Parameters!$B$34,1,IF(AL76&lt;0,-1,0)),0)</f>
        <v>1</v>
      </c>
      <c r="BS76" s="10" t="n">
        <f aca="false">IF(ISNUMBER(AP76),IF(AND(AP76&gt;0,AP76&lt;=Parameters!$B$35),1,IF(AP76&gt;Parameters!$B$36,-1,0)),0)</f>
        <v>1</v>
      </c>
      <c r="BT76" s="10" t="n">
        <f aca="false">IF(ISNUMBER(AY76),IF(AY76&gt;Parameters!$B$37,1,IF(AY76&lt;0,-1,0)),0)</f>
        <v>-1</v>
      </c>
      <c r="BU76" s="10" t="n">
        <f aca="false">IF(ISNUMBER(AZ76),IF(AZ76&gt;0,1,0),0)</f>
        <v>0</v>
      </c>
      <c r="BV76" s="10" t="n">
        <f aca="false">IF(ISNUMBER(AL76),IF(AL76&gt;Parameters!$B$39,2,IF(AL76&gt;Parameters!$B$40,1,IF(AL76&lt;0,-2,IF(AL76&lt;Parameters!$B$41,-1,0)))),0)</f>
        <v>2</v>
      </c>
      <c r="BW76" s="10" t="n">
        <f aca="false">IF(ISNUMBER(AV76),IF(AV76&gt;Parameters!$B$42,1,IF(AV76&lt;Parameters!$B$43,-1,0)),0)</f>
        <v>0</v>
      </c>
      <c r="BX76" s="10" t="n">
        <f aca="false">IF(AND(ISNUMBER(AX76),AX76&gt;0),1,IF(AND(ISNUMBER(AY76),AY76&lt;Parameters!$B$44),-1,0))</f>
        <v>0</v>
      </c>
      <c r="BY76" s="10" t="n">
        <f aca="false">IF(ISNUMBER(AW76),IF(AW76&gt;0,1,0),0)</f>
        <v>0</v>
      </c>
      <c r="BZ76" s="10" t="n">
        <f aca="false">IF(ISNUMBER(AQ76),IF(AQ76&gt;Parameters!$B$46,-2,IF(AQ76&gt;Parameters!$B$45,-1,0)),0)</f>
        <v>0</v>
      </c>
      <c r="CA76" s="10" t="n">
        <f aca="false">IF(ISNUMBER(F76),IF(F76&gt;=Parameters!$B$47,1,IF(F76&lt;=Parameters!$B$48,-1,0)),0)</f>
        <v>0</v>
      </c>
      <c r="CB76" s="17" t="n">
        <f aca="false">IF(BF76="Established",BP76+BQ76+BR76+BS76+BT76+BU76,IF(BF76="Early",BV76+BW76+BX76+BY76+BZ76+CA76,0))</f>
        <v>2</v>
      </c>
      <c r="CC76" s="18" t="n">
        <f aca="false">IF(BF76="Established",BO76+CB76,IF(BF76="Early",BO76+Parameters!$B$50*CB76,BO76))</f>
        <v>-3</v>
      </c>
      <c r="CD76" s="17" t="n">
        <f aca="false">IF(BF76="Established",IF(CC76&gt;=Parameters!$B$51,6,IF(CC76&gt;=Parameters!$B$52,5,IF(CC76&gt;=Parameters!$B$53,4,IF(CC76&gt;=Parameters!$B$54,3,IF(CC76&gt;=Parameters!$B$55,2,1))))),IF(BF76="Early",IF(CC76&gt;=Parameters!$B$56,5,IF(CC76&gt;=Parameters!$B$57,4,IF(CC76&gt;=Parameters!$B$58,3,IF(CC76&gt;=Parameters!$B$59,2,1)))),IF(CC76&gt;=Parameters!$B$60,6,IF(CC76&gt;=Parameters!$B$61,5,IF(CC76&gt;=Parameters!$B$62,4,IF(CC76&gt;=Parameters!$B$63,3,IF(CC76&gt;=Parameters!$B$64,2,1)))))))</f>
        <v>2</v>
      </c>
      <c r="CE76" s="10" t="n">
        <f aca="false">IF(AND(ISNUMBER(AR76),AR76&lt;Parameters!$B$66),1,0)</f>
        <v>0</v>
      </c>
      <c r="CF76" s="10" t="n">
        <f aca="false">IF(AND(LEFT(AH76,5)="Death",ISNUMBER(AG76)),IF(BF76="Early",IF(AND(AG76&lt;Parameters!$B$70,ISNUMBER(U76),U76&lt;Parameters!$B$71),1,0),IF(AND(AG76&lt;Parameters!$B$67,OR(AND(ISNUMBER(U76),U76&lt;Parameters!$B$68),AND(ISNUMBER(V76),V76&lt;Parameters!$B$69))),1,0)),0)</f>
        <v>1</v>
      </c>
      <c r="CG76" s="10" t="n">
        <f aca="false">IF(AND(ISNUMBER(AG76),AG76&lt;0),1,0)</f>
        <v>1</v>
      </c>
      <c r="CH76" s="10" t="n">
        <f aca="false">IF(OR(AND(ISNUMBER(U76),U76&gt;Parameters!$B$74),AND(ISNUMBER(AF76),AF76&gt;Parameters!$B$75),AND(ISNUMBER(AE76),AE76&gt;Parameters!$B$76)),1,0)</f>
        <v>0</v>
      </c>
      <c r="CI76" s="10" t="n">
        <f aca="false">IF(AND(ISNUMBER(BC76),BC76&gt;=0,BC76&lt;=Parameters!$B$77),1,0)</f>
        <v>0</v>
      </c>
      <c r="CJ76" s="17" t="n">
        <f aca="false">IF(CF76=1,1,MIN(CD76,IF(CE76=1,3,6),IF(CG76=1,IF(BF76="Early",Parameters!$B$73,Parameters!$B$72),6),IF(CH76=1,3,6),IF(CI76=1,3,6)))</f>
        <v>1</v>
      </c>
      <c r="CK76" s="10" t="str">
        <f aca="false">INDEX(Parameters!$F$2:$F$7,CJ76)</f>
        <v>Sell Immediately</v>
      </c>
      <c r="CL76" s="10" t="str">
        <f aca="false">IF(CF76=1,"Hard sell: breakdown; ","")&amp;IF(CE76=1,"Insufficient history; ","")&amp;IF(AND(CF76=0,CG76=1),"Below 200D; ","")&amp;IF(CH76=1,"Extended - wait for pullback; ","")&amp;IF(CI76=1,"Earnings within "&amp;Parameters!$B$77&amp;"d; ","")</f>
        <v>Hard sell: breakdown; </v>
      </c>
    </row>
    <row r="77" customFormat="false" ht="15" hidden="false" customHeight="false" outlineLevel="0" collapsed="false">
      <c r="A77" s="10" t="s">
        <v>491</v>
      </c>
      <c r="B77" s="10" t="n">
        <v>4</v>
      </c>
      <c r="C77" s="10" t="n">
        <v>4</v>
      </c>
      <c r="D77" s="10" t="n">
        <v>23.9</v>
      </c>
      <c r="E77" s="10" t="n">
        <v>4.6</v>
      </c>
      <c r="F77" s="10" t="n">
        <v>4</v>
      </c>
      <c r="G77" s="10" t="s">
        <v>492</v>
      </c>
      <c r="H77" s="10" t="s">
        <v>386</v>
      </c>
      <c r="I77" s="10" t="n">
        <v>206.48</v>
      </c>
      <c r="J77" s="10" t="s">
        <v>295</v>
      </c>
      <c r="K77" s="10" t="s">
        <v>360</v>
      </c>
      <c r="L77" s="15" t="n">
        <v>163148179528</v>
      </c>
      <c r="M77" s="16" t="n">
        <v>46231</v>
      </c>
      <c r="N77" s="10" t="n">
        <v>145.16</v>
      </c>
      <c r="O77" s="16" t="n">
        <v>46322</v>
      </c>
      <c r="P77" s="10" t="s">
        <v>297</v>
      </c>
      <c r="Q77" s="10" t="n">
        <v>0.03</v>
      </c>
      <c r="R77" s="10" t="n">
        <v>-2.05</v>
      </c>
      <c r="S77" s="10" t="n">
        <v>-1.15</v>
      </c>
      <c r="T77" s="10" t="n">
        <v>-2.65</v>
      </c>
      <c r="U77" s="10" t="n">
        <v>-11.48</v>
      </c>
      <c r="V77" s="10" t="n">
        <v>-1.21</v>
      </c>
      <c r="W77" s="10" t="n">
        <v>-3.56</v>
      </c>
      <c r="X77" s="10" t="n">
        <v>-10.04</v>
      </c>
      <c r="Y77" s="10"/>
      <c r="Z77" s="10"/>
      <c r="AA77" s="10"/>
      <c r="AB77" s="10"/>
      <c r="AC77" s="10" t="n">
        <v>-5.85</v>
      </c>
      <c r="AD77" s="10" t="n">
        <v>-18.82</v>
      </c>
      <c r="AE77" s="10" t="n">
        <v>37.64</v>
      </c>
      <c r="AF77" s="10" t="n">
        <v>-5.68</v>
      </c>
      <c r="AG77" s="10" t="n">
        <v>-6.4</v>
      </c>
      <c r="AH77" s="10" t="s">
        <v>493</v>
      </c>
      <c r="AI77" s="10" t="n">
        <v>-0.52</v>
      </c>
      <c r="AJ77" s="10" t="n">
        <v>-18.95</v>
      </c>
      <c r="AK77" s="10"/>
      <c r="AL77" s="10" t="n">
        <v>8</v>
      </c>
      <c r="AM77" s="10" t="n">
        <v>2.22</v>
      </c>
      <c r="AN77" s="10" t="n">
        <v>173.54</v>
      </c>
      <c r="AO77" s="10" t="n">
        <v>51.86</v>
      </c>
      <c r="AP77" s="10" t="n">
        <v>-2.83</v>
      </c>
      <c r="AQ77" s="10" t="n">
        <v>0.01</v>
      </c>
      <c r="AR77" s="10" t="n">
        <v>300</v>
      </c>
      <c r="AS77" s="16" t="n">
        <v>46275</v>
      </c>
      <c r="AT77" s="15" t="n">
        <v>93994999808</v>
      </c>
      <c r="AU77" s="15" t="n">
        <v>4426999808</v>
      </c>
      <c r="AV77" s="10" t="n">
        <v>4.71</v>
      </c>
      <c r="AW77" s="15" t="n">
        <v>2088999936</v>
      </c>
      <c r="AX77" s="15" t="n">
        <v>5625375232</v>
      </c>
      <c r="AY77" s="10" t="n">
        <v>5.98</v>
      </c>
      <c r="AZ77" s="15" t="n">
        <v>-29066999808</v>
      </c>
      <c r="BA77" s="10" t="n">
        <v>16.8</v>
      </c>
      <c r="BB77" s="10" t="n">
        <v>38.29</v>
      </c>
      <c r="BC77" s="17" t="n">
        <f aca="false">IF(AND(ISNUMBER(O77),ISNUMBER(AS77)),O77-AS77,"")</f>
        <v>47</v>
      </c>
      <c r="BD77" s="10" t="n">
        <f aca="false">IF(OR(ISNUMBER(SEARCH("ETF",H77)),AND(F77="",AO77="")),1,0)</f>
        <v>0</v>
      </c>
      <c r="BE77" s="17" t="n">
        <f aca="false">IF(ISNUMBER(L77),IF(L77&gt;=Parameters!$B$3,2,IF(L77&gt;=Parameters!$B$4,1,0)),0)+IF(ISNUMBER(AW77),IF(AW77&gt;0,IF(AND(ISNUMBER(AM77),AM77&gt;=Parameters!$B$5),2,1),0),0)+IF(ISNUMBER(AX77),IF(AND(AX77&gt;0,ISNUMBER(AY77),AY77&gt;=Parameters!$B$6),1,0),0)+IF(ISNUMBER(AO77),IF(AND(AO77&gt;0,AO77&lt;=Parameters!$B$7),1,0),0)+IF(ISNUMBER(F77),IF(F77&gt;=Parameters!$B$8,1,0),0)</f>
        <v>4</v>
      </c>
      <c r="BF77" s="10" t="str">
        <f aca="false">IF(BD77=1,"ETF",IF(OR(AND(ISNUMBER(L77),L77&gt;=Parameters!$B$10),BE77&gt;=Parameters!$B$9),"Established","Early"))</f>
        <v>Early</v>
      </c>
      <c r="BG77" s="10" t="n">
        <f aca="false">IF(LEFT(AH77,6)="Golden",2,IF(LEFT(AH77,5)="Death",-2,0))</f>
        <v>-2</v>
      </c>
      <c r="BH77" s="10" t="n">
        <f aca="false">IF(ISNUMBER(AG77),IF(AG77&gt;Parameters!$B$12,2,IF(AG77&gt;0,1,IF(AG77&gt;=Parameters!$B$13,-1,-2))),0)</f>
        <v>-1</v>
      </c>
      <c r="BI77" s="10" t="n">
        <f aca="false">IF(ISNUMBER(AF77),IF(AND(AF77&gt;=Parameters!$B$14,AF77&lt;=Parameters!$B$15),1,IF(OR(AF77&gt;Parameters!$B$16,AF77&lt;Parameters!$B$17),-1,0)),0)</f>
        <v>0</v>
      </c>
      <c r="BJ77" s="10" t="n">
        <f aca="false">IF(ISNUMBER(AE77),IF(AND(AE77&gt;=Parameters!$B$18,AE77&lt;=Parameters!$B$19),1,IF(OR(AE77&gt;Parameters!$B$20,AE77&lt;Parameters!$B$21),-1,0)),0)</f>
        <v>0</v>
      </c>
      <c r="BK77" s="10" t="n">
        <f aca="false">IF(ISNUMBER(E77),IF(E77&gt;Parameters!$B$22,1,IF(E77&lt;Parameters!$B$23,-1,0)),0)</f>
        <v>1</v>
      </c>
      <c r="BL77" s="10" t="n">
        <f aca="false">IF(ISNUMBER(C77),IF(C77&gt;=Parameters!$B$24,1,IF(C77&lt;=Parameters!$B$25,-1,0)),0)</f>
        <v>0</v>
      </c>
      <c r="BM77" s="10" t="n">
        <f aca="false">IF(ISNUMBER(AJ77),IF(AND(AJ77&gt;Parameters!$B$26,ISNUMBER(U77)),IF(U77&lt;0,-1,1),0),0)</f>
        <v>0</v>
      </c>
      <c r="BN77" s="10" t="n">
        <f aca="false">IF(ISNUMBER(AD77),IF(AD77&gt;Parameters!$B$27,1,IF(AD77&lt;Parameters!$B$28,-1,0)),0)</f>
        <v>0</v>
      </c>
      <c r="BO77" s="17" t="n">
        <f aca="false">BG77+BH77+BI77+BJ77+BK77+BL77+BM77+BN77</f>
        <v>-2</v>
      </c>
      <c r="BP77" s="10" t="n">
        <f aca="false">IF(ISNUMBER(F77),IF(F77&gt;=Parameters!$B$30,2,IF(F77&gt;=Parameters!$B$31,1,IF(F77&lt;=Parameters!$B$32,-1,0))),0)</f>
        <v>-1</v>
      </c>
      <c r="BQ77" s="10" t="n">
        <f aca="false">IF(ISNUMBER(AK77),IF(AK77&gt;Parameters!$B$33,1,IF(AK77&lt;0,-1,0)),0)</f>
        <v>0</v>
      </c>
      <c r="BR77" s="10" t="n">
        <f aca="false">IF(ISNUMBER(AL77),IF(AL77&gt;Parameters!$B$34,1,IF(AL77&lt;0,-1,0)),0)</f>
        <v>0</v>
      </c>
      <c r="BS77" s="10" t="n">
        <f aca="false">IF(ISNUMBER(AP77),IF(AND(AP77&gt;0,AP77&lt;=Parameters!$B$35),1,IF(AP77&gt;Parameters!$B$36,-1,0)),0)</f>
        <v>0</v>
      </c>
      <c r="BT77" s="10" t="n">
        <f aca="false">IF(ISNUMBER(AY77),IF(AY77&gt;Parameters!$B$37,1,IF(AY77&lt;0,-1,0)),0)</f>
        <v>0</v>
      </c>
      <c r="BU77" s="10" t="n">
        <f aca="false">IF(ISNUMBER(AZ77),IF(AZ77&gt;0,1,0),0)</f>
        <v>0</v>
      </c>
      <c r="BV77" s="10" t="n">
        <f aca="false">IF(ISNUMBER(AL77),IF(AL77&gt;Parameters!$B$39,2,IF(AL77&gt;Parameters!$B$40,1,IF(AL77&lt;0,-2,IF(AL77&lt;Parameters!$B$41,-1,0)))),0)</f>
        <v>0</v>
      </c>
      <c r="BW77" s="10" t="n">
        <f aca="false">IF(ISNUMBER(AV77),IF(AV77&gt;Parameters!$B$42,1,IF(AV77&lt;Parameters!$B$43,-1,0)),0)</f>
        <v>-1</v>
      </c>
      <c r="BX77" s="10" t="n">
        <f aca="false">IF(AND(ISNUMBER(AX77),AX77&gt;0),1,IF(AND(ISNUMBER(AY77),AY77&lt;Parameters!$B$44),-1,0))</f>
        <v>1</v>
      </c>
      <c r="BY77" s="10" t="n">
        <f aca="false">IF(ISNUMBER(AW77),IF(AW77&gt;0,1,0),0)</f>
        <v>1</v>
      </c>
      <c r="BZ77" s="10" t="n">
        <f aca="false">IF(ISNUMBER(AQ77),IF(AQ77&gt;Parameters!$B$46,-2,IF(AQ77&gt;Parameters!$B$45,-1,0)),0)</f>
        <v>0</v>
      </c>
      <c r="CA77" s="10" t="n">
        <f aca="false">IF(ISNUMBER(F77),IF(F77&gt;=Parameters!$B$47,1,IF(F77&lt;=Parameters!$B$48,-1,0)),0)</f>
        <v>0</v>
      </c>
      <c r="CB77" s="17" t="n">
        <f aca="false">IF(BF77="Established",BP77+BQ77+BR77+BS77+BT77+BU77,IF(BF77="Early",BV77+BW77+BX77+BY77+BZ77+CA77,0))</f>
        <v>1</v>
      </c>
      <c r="CC77" s="18" t="n">
        <f aca="false">IF(BF77="Established",BO77+CB77,IF(BF77="Early",BO77+Parameters!$B$50*CB77,BO77))</f>
        <v>-1.5</v>
      </c>
      <c r="CD77" s="17" t="n">
        <f aca="false">IF(BF77="Established",IF(CC77&gt;=Parameters!$B$51,6,IF(CC77&gt;=Parameters!$B$52,5,IF(CC77&gt;=Parameters!$B$53,4,IF(CC77&gt;=Parameters!$B$54,3,IF(CC77&gt;=Parameters!$B$55,2,1))))),IF(BF77="Early",IF(CC77&gt;=Parameters!$B$56,5,IF(CC77&gt;=Parameters!$B$57,4,IF(CC77&gt;=Parameters!$B$58,3,IF(CC77&gt;=Parameters!$B$59,2,1)))),IF(CC77&gt;=Parameters!$B$60,6,IF(CC77&gt;=Parameters!$B$61,5,IF(CC77&gt;=Parameters!$B$62,4,IF(CC77&gt;=Parameters!$B$63,3,IF(CC77&gt;=Parameters!$B$64,2,1)))))))</f>
        <v>2</v>
      </c>
      <c r="CE77" s="10" t="n">
        <f aca="false">IF(AND(ISNUMBER(AR77),AR77&lt;Parameters!$B$66),1,0)</f>
        <v>0</v>
      </c>
      <c r="CF77" s="10" t="n">
        <f aca="false">IF(AND(LEFT(AH77,5)="Death",ISNUMBER(AG77)),IF(BF77="Early",IF(AND(AG77&lt;Parameters!$B$70,ISNUMBER(U77),U77&lt;Parameters!$B$71),1,0),IF(AND(AG77&lt;Parameters!$B$67,OR(AND(ISNUMBER(U77),U77&lt;Parameters!$B$68),AND(ISNUMBER(V77),V77&lt;Parameters!$B$69))),1,0)),0)</f>
        <v>1</v>
      </c>
      <c r="CG77" s="10" t="n">
        <f aca="false">IF(AND(ISNUMBER(AG77),AG77&lt;0),1,0)</f>
        <v>1</v>
      </c>
      <c r="CH77" s="10" t="n">
        <f aca="false">IF(OR(AND(ISNUMBER(U77),U77&gt;Parameters!$B$74),AND(ISNUMBER(AF77),AF77&gt;Parameters!$B$75),AND(ISNUMBER(AE77),AE77&gt;Parameters!$B$76)),1,0)</f>
        <v>0</v>
      </c>
      <c r="CI77" s="10" t="n">
        <f aca="false">IF(AND(ISNUMBER(BC77),BC77&gt;=0,BC77&lt;=Parameters!$B$77),1,0)</f>
        <v>0</v>
      </c>
      <c r="CJ77" s="17" t="n">
        <f aca="false">IF(CF77=1,1,MIN(CD77,IF(CE77=1,3,6),IF(CG77=1,IF(BF77="Early",Parameters!$B$73,Parameters!$B$72),6),IF(CH77=1,3,6),IF(CI77=1,3,6)))</f>
        <v>1</v>
      </c>
      <c r="CK77" s="10" t="str">
        <f aca="false">INDEX(Parameters!$F$2:$F$7,CJ77)</f>
        <v>Sell Immediately</v>
      </c>
      <c r="CL77" s="10" t="str">
        <f aca="false">IF(CF77=1,"Hard sell: breakdown; ","")&amp;IF(CE77=1,"Insufficient history; ","")&amp;IF(AND(CF77=0,CG77=1),"Below 200D; ","")&amp;IF(CH77=1,"Extended - wait for pullback; ","")&amp;IF(CI77=1,"Earnings within "&amp;Parameters!$B$77&amp;"d; ","")</f>
        <v>Hard sell: breakdown; </v>
      </c>
    </row>
    <row r="78" customFormat="false" ht="15" hidden="false" customHeight="false" outlineLevel="0" collapsed="false">
      <c r="A78" s="10" t="s">
        <v>494</v>
      </c>
      <c r="B78" s="10" t="n">
        <v>4</v>
      </c>
      <c r="C78" s="10" t="n">
        <v>4</v>
      </c>
      <c r="D78" s="10" t="n">
        <v>42.5</v>
      </c>
      <c r="E78" s="10" t="n">
        <v>-14.5</v>
      </c>
      <c r="F78" s="10" t="n">
        <v>4</v>
      </c>
      <c r="G78" s="10" t="s">
        <v>495</v>
      </c>
      <c r="H78" s="10" t="s">
        <v>360</v>
      </c>
      <c r="I78" s="10" t="n">
        <v>486.15</v>
      </c>
      <c r="J78" s="10" t="s">
        <v>295</v>
      </c>
      <c r="K78" s="10" t="s">
        <v>360</v>
      </c>
      <c r="L78" s="15" t="n">
        <v>39806333350</v>
      </c>
      <c r="M78" s="16" t="n">
        <v>46239</v>
      </c>
      <c r="N78" s="10" t="n">
        <v>2.17</v>
      </c>
      <c r="O78" s="16" t="n">
        <v>46330</v>
      </c>
      <c r="P78" s="10" t="s">
        <v>297</v>
      </c>
      <c r="Q78" s="10" t="n">
        <v>-0.79</v>
      </c>
      <c r="R78" s="10" t="n">
        <v>-3.05</v>
      </c>
      <c r="S78" s="10" t="n">
        <v>-4.11</v>
      </c>
      <c r="T78" s="10" t="n">
        <v>-19.97</v>
      </c>
      <c r="U78" s="10" t="n">
        <v>-23.6</v>
      </c>
      <c r="V78" s="10" t="n">
        <v>8.62</v>
      </c>
      <c r="W78" s="10" t="n">
        <v>-6.07</v>
      </c>
      <c r="X78" s="10" t="n">
        <v>-33.58</v>
      </c>
      <c r="Y78" s="10"/>
      <c r="Z78" s="10"/>
      <c r="AA78" s="10"/>
      <c r="AB78" s="10"/>
      <c r="AC78" s="10" t="n">
        <v>3.97</v>
      </c>
      <c r="AD78" s="10" t="n">
        <v>-38.63</v>
      </c>
      <c r="AE78" s="10" t="n">
        <v>36.75</v>
      </c>
      <c r="AF78" s="10" t="n">
        <v>-14.07</v>
      </c>
      <c r="AG78" s="10" t="n">
        <v>-3.74</v>
      </c>
      <c r="AH78" s="10" t="s">
        <v>496</v>
      </c>
      <c r="AI78" s="10" t="n">
        <v>-14.65</v>
      </c>
      <c r="AJ78" s="10" t="n">
        <v>-14.13</v>
      </c>
      <c r="AK78" s="10" t="n">
        <v>-18.5</v>
      </c>
      <c r="AL78" s="10" t="n">
        <v>35.3</v>
      </c>
      <c r="AM78" s="10" t="n">
        <v>6.19</v>
      </c>
      <c r="AN78" s="10" t="n">
        <v>6.22</v>
      </c>
      <c r="AO78" s="10" t="n">
        <v>46.45</v>
      </c>
      <c r="AP78" s="10" t="n">
        <v>-10.55</v>
      </c>
      <c r="AQ78" s="10" t="n">
        <v>4.48</v>
      </c>
      <c r="AR78" s="10" t="n">
        <v>300</v>
      </c>
      <c r="AS78" s="16" t="n">
        <v>46275</v>
      </c>
      <c r="AT78" s="15" t="n">
        <v>3219098880</v>
      </c>
      <c r="AU78" s="15" t="n">
        <v>1916168960</v>
      </c>
      <c r="AV78" s="10" t="n">
        <v>59.53</v>
      </c>
      <c r="AW78" s="15" t="n">
        <v>199298000</v>
      </c>
      <c r="AX78" s="15" t="n">
        <v>222160000</v>
      </c>
      <c r="AY78" s="10" t="n">
        <v>6.9</v>
      </c>
      <c r="AZ78" s="15" t="n">
        <v>-1158072960</v>
      </c>
      <c r="BA78" s="10" t="n">
        <v>43.4</v>
      </c>
      <c r="BB78" s="10" t="n">
        <v>32.47</v>
      </c>
      <c r="BC78" s="17" t="n">
        <f aca="false">IF(AND(ISNUMBER(O78),ISNUMBER(AS78)),O78-AS78,"")</f>
        <v>55</v>
      </c>
      <c r="BD78" s="10" t="n">
        <f aca="false">IF(OR(ISNUMBER(SEARCH("ETF",H78)),AND(F78="",AO78="")),1,0)</f>
        <v>0</v>
      </c>
      <c r="BE78" s="17" t="n">
        <f aca="false">IF(ISNUMBER(L78),IF(L78&gt;=Parameters!$B$3,2,IF(L78&gt;=Parameters!$B$4,1,0)),0)+IF(ISNUMBER(AW78),IF(AW78&gt;0,IF(AND(ISNUMBER(AM78),AM78&gt;=Parameters!$B$5),2,1),0),0)+IF(ISNUMBER(AX78),IF(AND(AX78&gt;0,ISNUMBER(AY78),AY78&gt;=Parameters!$B$6),1,0),0)+IF(ISNUMBER(AO78),IF(AND(AO78&gt;0,AO78&lt;=Parameters!$B$7),1,0),0)+IF(ISNUMBER(F78),IF(F78&gt;=Parameters!$B$8,1,0),0)</f>
        <v>4</v>
      </c>
      <c r="BF78" s="10" t="str">
        <f aca="false">IF(BD78=1,"ETF",IF(OR(AND(ISNUMBER(L78),L78&gt;=Parameters!$B$10),BE78&gt;=Parameters!$B$9),"Established","Early"))</f>
        <v>Early</v>
      </c>
      <c r="BG78" s="10" t="n">
        <f aca="false">IF(LEFT(AH78,6)="Golden",2,IF(LEFT(AH78,5)="Death",-2,0))</f>
        <v>2</v>
      </c>
      <c r="BH78" s="10" t="n">
        <f aca="false">IF(ISNUMBER(AG78),IF(AG78&gt;Parameters!$B$12,2,IF(AG78&gt;0,1,IF(AG78&gt;=Parameters!$B$13,-1,-2))),0)</f>
        <v>-1</v>
      </c>
      <c r="BI78" s="10" t="n">
        <f aca="false">IF(ISNUMBER(AF78),IF(AND(AF78&gt;=Parameters!$B$14,AF78&lt;=Parameters!$B$15),1,IF(OR(AF78&gt;Parameters!$B$16,AF78&lt;Parameters!$B$17),-1,0)),0)</f>
        <v>-1</v>
      </c>
      <c r="BJ78" s="10" t="n">
        <f aca="false">IF(ISNUMBER(AE78),IF(AND(AE78&gt;=Parameters!$B$18,AE78&lt;=Parameters!$B$19),1,IF(OR(AE78&gt;Parameters!$B$20,AE78&lt;Parameters!$B$21),-1,0)),0)</f>
        <v>0</v>
      </c>
      <c r="BK78" s="10" t="n">
        <f aca="false">IF(ISNUMBER(E78),IF(E78&gt;Parameters!$B$22,1,IF(E78&lt;Parameters!$B$23,-1,0)),0)</f>
        <v>-1</v>
      </c>
      <c r="BL78" s="10" t="n">
        <f aca="false">IF(ISNUMBER(C78),IF(C78&gt;=Parameters!$B$24,1,IF(C78&lt;=Parameters!$B$25,-1,0)),0)</f>
        <v>0</v>
      </c>
      <c r="BM78" s="10" t="n">
        <f aca="false">IF(ISNUMBER(AJ78),IF(AND(AJ78&gt;Parameters!$B$26,ISNUMBER(U78)),IF(U78&lt;0,-1,1),0),0)</f>
        <v>0</v>
      </c>
      <c r="BN78" s="10" t="n">
        <f aca="false">IF(ISNUMBER(AD78),IF(AD78&gt;Parameters!$B$27,1,IF(AD78&lt;Parameters!$B$28,-1,0)),0)</f>
        <v>-1</v>
      </c>
      <c r="BO78" s="17" t="n">
        <f aca="false">BG78+BH78+BI78+BJ78+BK78+BL78+BM78+BN78</f>
        <v>-2</v>
      </c>
      <c r="BP78" s="10" t="n">
        <f aca="false">IF(ISNUMBER(F78),IF(F78&gt;=Parameters!$B$30,2,IF(F78&gt;=Parameters!$B$31,1,IF(F78&lt;=Parameters!$B$32,-1,0))),0)</f>
        <v>-1</v>
      </c>
      <c r="BQ78" s="10" t="n">
        <f aca="false">IF(ISNUMBER(AK78),IF(AK78&gt;Parameters!$B$33,1,IF(AK78&lt;0,-1,0)),0)</f>
        <v>-1</v>
      </c>
      <c r="BR78" s="10" t="n">
        <f aca="false">IF(ISNUMBER(AL78),IF(AL78&gt;Parameters!$B$34,1,IF(AL78&lt;0,-1,0)),0)</f>
        <v>1</v>
      </c>
      <c r="BS78" s="10" t="n">
        <f aca="false">IF(ISNUMBER(AP78),IF(AND(AP78&gt;0,AP78&lt;=Parameters!$B$35),1,IF(AP78&gt;Parameters!$B$36,-1,0)),0)</f>
        <v>0</v>
      </c>
      <c r="BT78" s="10" t="n">
        <f aca="false">IF(ISNUMBER(AY78),IF(AY78&gt;Parameters!$B$37,1,IF(AY78&lt;0,-1,0)),0)</f>
        <v>0</v>
      </c>
      <c r="BU78" s="10" t="n">
        <f aca="false">IF(ISNUMBER(AZ78),IF(AZ78&gt;0,1,0),0)</f>
        <v>0</v>
      </c>
      <c r="BV78" s="10" t="n">
        <f aca="false">IF(ISNUMBER(AL78),IF(AL78&gt;Parameters!$B$39,2,IF(AL78&gt;Parameters!$B$40,1,IF(AL78&lt;0,-2,IF(AL78&lt;Parameters!$B$41,-1,0)))),0)</f>
        <v>2</v>
      </c>
      <c r="BW78" s="10" t="n">
        <f aca="false">IF(ISNUMBER(AV78),IF(AV78&gt;Parameters!$B$42,1,IF(AV78&lt;Parameters!$B$43,-1,0)),0)</f>
        <v>1</v>
      </c>
      <c r="BX78" s="10" t="n">
        <f aca="false">IF(AND(ISNUMBER(AX78),AX78&gt;0),1,IF(AND(ISNUMBER(AY78),AY78&lt;Parameters!$B$44),-1,0))</f>
        <v>1</v>
      </c>
      <c r="BY78" s="10" t="n">
        <f aca="false">IF(ISNUMBER(AW78),IF(AW78&gt;0,1,0),0)</f>
        <v>1</v>
      </c>
      <c r="BZ78" s="10" t="n">
        <f aca="false">IF(ISNUMBER(AQ78),IF(AQ78&gt;Parameters!$B$46,-2,IF(AQ78&gt;Parameters!$B$45,-1,0)),0)</f>
        <v>0</v>
      </c>
      <c r="CA78" s="10" t="n">
        <f aca="false">IF(ISNUMBER(F78),IF(F78&gt;=Parameters!$B$47,1,IF(F78&lt;=Parameters!$B$48,-1,0)),0)</f>
        <v>0</v>
      </c>
      <c r="CB78" s="17" t="n">
        <f aca="false">IF(BF78="Established",BP78+BQ78+BR78+BS78+BT78+BU78,IF(BF78="Early",BV78+BW78+BX78+BY78+BZ78+CA78,0))</f>
        <v>5</v>
      </c>
      <c r="CC78" s="18" t="n">
        <f aca="false">IF(BF78="Established",BO78+CB78,IF(BF78="Early",BO78+Parameters!$B$50*CB78,BO78))</f>
        <v>0.5</v>
      </c>
      <c r="CD78" s="17" t="n">
        <f aca="false">IF(BF78="Established",IF(CC78&gt;=Parameters!$B$51,6,IF(CC78&gt;=Parameters!$B$52,5,IF(CC78&gt;=Parameters!$B$53,4,IF(CC78&gt;=Parameters!$B$54,3,IF(CC78&gt;=Parameters!$B$55,2,1))))),IF(BF78="Early",IF(CC78&gt;=Parameters!$B$56,5,IF(CC78&gt;=Parameters!$B$57,4,IF(CC78&gt;=Parameters!$B$58,3,IF(CC78&gt;=Parameters!$B$59,2,1)))),IF(CC78&gt;=Parameters!$B$60,6,IF(CC78&gt;=Parameters!$B$61,5,IF(CC78&gt;=Parameters!$B$62,4,IF(CC78&gt;=Parameters!$B$63,3,IF(CC78&gt;=Parameters!$B$64,2,1)))))))</f>
        <v>2</v>
      </c>
      <c r="CE78" s="10" t="n">
        <f aca="false">IF(AND(ISNUMBER(AR78),AR78&lt;Parameters!$B$66),1,0)</f>
        <v>0</v>
      </c>
      <c r="CF78" s="10" t="n">
        <f aca="false">IF(AND(LEFT(AH78,5)="Death",ISNUMBER(AG78)),IF(BF78="Early",IF(AND(AG78&lt;Parameters!$B$70,ISNUMBER(U78),U78&lt;Parameters!$B$71),1,0),IF(AND(AG78&lt;Parameters!$B$67,OR(AND(ISNUMBER(U78),U78&lt;Parameters!$B$68),AND(ISNUMBER(V78),V78&lt;Parameters!$B$69))),1,0)),0)</f>
        <v>0</v>
      </c>
      <c r="CG78" s="10" t="n">
        <f aca="false">IF(AND(ISNUMBER(AG78),AG78&lt;0),1,0)</f>
        <v>1</v>
      </c>
      <c r="CH78" s="10" t="n">
        <f aca="false">IF(OR(AND(ISNUMBER(U78),U78&gt;Parameters!$B$74),AND(ISNUMBER(AF78),AF78&gt;Parameters!$B$75),AND(ISNUMBER(AE78),AE78&gt;Parameters!$B$76)),1,0)</f>
        <v>0</v>
      </c>
      <c r="CI78" s="10" t="n">
        <f aca="false">IF(AND(ISNUMBER(BC78),BC78&gt;=0,BC78&lt;=Parameters!$B$77),1,0)</f>
        <v>0</v>
      </c>
      <c r="CJ78" s="17" t="n">
        <f aca="false">IF(CF78=1,1,MIN(CD78,IF(CE78=1,3,6),IF(CG78=1,IF(BF78="Early",Parameters!$B$73,Parameters!$B$72),6),IF(CH78=1,3,6),IF(CI78=1,3,6)))</f>
        <v>2</v>
      </c>
      <c r="CK78" s="10" t="str">
        <f aca="false">INDEX(Parameters!$F$2:$F$7,CJ78)</f>
        <v>Avoid</v>
      </c>
      <c r="CL78" s="10" t="str">
        <f aca="false">IF(CF78=1,"Hard sell: breakdown; ","")&amp;IF(CE78=1,"Insufficient history; ","")&amp;IF(AND(CF78=0,CG78=1),"Below 200D; ","")&amp;IF(CH78=1,"Extended - wait for pullback; ","")&amp;IF(CI78=1,"Earnings within "&amp;Parameters!$B$77&amp;"d; ","")</f>
        <v>Below 200D; </v>
      </c>
    </row>
    <row r="79" customFormat="false" ht="15" hidden="false" customHeight="false" outlineLevel="0" collapsed="false">
      <c r="A79" s="10" t="s">
        <v>497</v>
      </c>
      <c r="B79" s="10" t="n">
        <v>4</v>
      </c>
      <c r="C79" s="10" t="n">
        <v>2</v>
      </c>
      <c r="D79" s="10" t="n">
        <v>19.5</v>
      </c>
      <c r="E79" s="10" t="n">
        <v>-2.9</v>
      </c>
      <c r="F79" s="10" t="n">
        <v>6</v>
      </c>
      <c r="G79" s="10" t="s">
        <v>498</v>
      </c>
      <c r="H79" s="10" t="s">
        <v>349</v>
      </c>
      <c r="I79" s="10" t="n">
        <v>54.58</v>
      </c>
      <c r="J79" s="10" t="s">
        <v>295</v>
      </c>
      <c r="K79" s="10" t="s">
        <v>366</v>
      </c>
      <c r="L79" s="15" t="n">
        <v>6600718248</v>
      </c>
      <c r="M79" s="16" t="n">
        <v>46245</v>
      </c>
      <c r="N79" s="10" t="n">
        <v>5.56</v>
      </c>
      <c r="O79" s="16" t="n">
        <v>46336</v>
      </c>
      <c r="P79" s="10" t="s">
        <v>297</v>
      </c>
      <c r="Q79" s="10" t="n">
        <v>-3.42</v>
      </c>
      <c r="R79" s="10" t="n">
        <v>-6.04</v>
      </c>
      <c r="S79" s="10" t="n">
        <v>-11.67</v>
      </c>
      <c r="T79" s="10" t="n">
        <v>-19.46</v>
      </c>
      <c r="U79" s="10" t="n">
        <v>-10.25</v>
      </c>
      <c r="V79" s="10" t="n">
        <v>-33.08</v>
      </c>
      <c r="W79" s="10" t="n">
        <v>-32.2</v>
      </c>
      <c r="X79" s="10" t="n">
        <v>-16.39</v>
      </c>
      <c r="Y79" s="10"/>
      <c r="Z79" s="10"/>
      <c r="AA79" s="10"/>
      <c r="AB79" s="10"/>
      <c r="AC79" s="10" t="n">
        <v>-37.72</v>
      </c>
      <c r="AD79" s="10" t="n">
        <v>-44.75</v>
      </c>
      <c r="AE79" s="10" t="n">
        <v>28.44</v>
      </c>
      <c r="AF79" s="10" t="n">
        <v>-18.18</v>
      </c>
      <c r="AG79" s="10" t="n">
        <v>-24.42</v>
      </c>
      <c r="AH79" s="10" t="s">
        <v>499</v>
      </c>
      <c r="AI79" s="10" t="n">
        <v>-1.29</v>
      </c>
      <c r="AJ79" s="10" t="n">
        <v>-9.52</v>
      </c>
      <c r="AK79" s="10" t="n">
        <v>25.3</v>
      </c>
      <c r="AL79" s="10" t="n">
        <v>31.3</v>
      </c>
      <c r="AM79" s="10" t="n">
        <v>4.82</v>
      </c>
      <c r="AN79" s="10" t="n">
        <v>8.32</v>
      </c>
      <c r="AO79" s="10" t="n">
        <v>77.05</v>
      </c>
      <c r="AP79" s="10" t="n">
        <v>-1.43</v>
      </c>
      <c r="AQ79" s="10" t="n">
        <v>11.8</v>
      </c>
      <c r="AR79" s="10" t="n">
        <v>300</v>
      </c>
      <c r="AS79" s="16" t="n">
        <v>46275</v>
      </c>
      <c r="AT79" s="15" t="n">
        <v>1373928960</v>
      </c>
      <c r="AU79" s="15" t="n">
        <v>518425984</v>
      </c>
      <c r="AV79" s="10" t="n">
        <v>37.73</v>
      </c>
      <c r="AW79" s="15" t="n">
        <v>66251000</v>
      </c>
      <c r="AX79" s="15" t="n">
        <v>-721500</v>
      </c>
      <c r="AY79" s="10" t="n">
        <v>-0.05</v>
      </c>
      <c r="AZ79" s="15" t="n">
        <v>-85143008</v>
      </c>
      <c r="BA79" s="10" t="n">
        <v>25.73</v>
      </c>
      <c r="BB79" s="10" t="n">
        <v>20.17</v>
      </c>
      <c r="BC79" s="17" t="n">
        <f aca="false">IF(AND(ISNUMBER(O79),ISNUMBER(AS79)),O79-AS79,"")</f>
        <v>61</v>
      </c>
      <c r="BD79" s="10" t="n">
        <f aca="false">IF(OR(ISNUMBER(SEARCH("ETF",H79)),AND(F79="",AO79="")),1,0)</f>
        <v>0</v>
      </c>
      <c r="BE79" s="17" t="n">
        <f aca="false">IF(ISNUMBER(L79),IF(L79&gt;=Parameters!$B$3,2,IF(L79&gt;=Parameters!$B$4,1,0)),0)+IF(ISNUMBER(AW79),IF(AW79&gt;0,IF(AND(ISNUMBER(AM79),AM79&gt;=Parameters!$B$5),2,1),0),0)+IF(ISNUMBER(AX79),IF(AND(AX79&gt;0,ISNUMBER(AY79),AY79&gt;=Parameters!$B$6),1,0),0)+IF(ISNUMBER(AO79),IF(AND(AO79&gt;0,AO79&lt;=Parameters!$B$7),1,0),0)+IF(ISNUMBER(F79),IF(F79&gt;=Parameters!$B$8,1,0),0)</f>
        <v>1</v>
      </c>
      <c r="BF79" s="10" t="str">
        <f aca="false">IF(BD79=1,"ETF",IF(OR(AND(ISNUMBER(L79),L79&gt;=Parameters!$B$10),BE79&gt;=Parameters!$B$9),"Established","Early"))</f>
        <v>Early</v>
      </c>
      <c r="BG79" s="10" t="n">
        <f aca="false">IF(LEFT(AH79,6)="Golden",2,IF(LEFT(AH79,5)="Death",-2,0))</f>
        <v>-2</v>
      </c>
      <c r="BH79" s="10" t="n">
        <f aca="false">IF(ISNUMBER(AG79),IF(AG79&gt;Parameters!$B$12,2,IF(AG79&gt;0,1,IF(AG79&gt;=Parameters!$B$13,-1,-2))),0)</f>
        <v>-2</v>
      </c>
      <c r="BI79" s="10" t="n">
        <f aca="false">IF(ISNUMBER(AF79),IF(AND(AF79&gt;=Parameters!$B$14,AF79&lt;=Parameters!$B$15),1,IF(OR(AF79&gt;Parameters!$B$16,AF79&lt;Parameters!$B$17),-1,0)),0)</f>
        <v>-1</v>
      </c>
      <c r="BJ79" s="10" t="n">
        <f aca="false">IF(ISNUMBER(AE79),IF(AND(AE79&gt;=Parameters!$B$18,AE79&lt;=Parameters!$B$19),1,IF(OR(AE79&gt;Parameters!$B$20,AE79&lt;Parameters!$B$21),-1,0)),0)</f>
        <v>-1</v>
      </c>
      <c r="BK79" s="10" t="n">
        <f aca="false">IF(ISNUMBER(E79),IF(E79&gt;Parameters!$B$22,1,IF(E79&lt;Parameters!$B$23,-1,0)),0)</f>
        <v>0</v>
      </c>
      <c r="BL79" s="10" t="n">
        <f aca="false">IF(ISNUMBER(C79),IF(C79&gt;=Parameters!$B$24,1,IF(C79&lt;=Parameters!$B$25,-1,0)),0)</f>
        <v>-1</v>
      </c>
      <c r="BM79" s="10" t="n">
        <f aca="false">IF(ISNUMBER(AJ79),IF(AND(AJ79&gt;Parameters!$B$26,ISNUMBER(U79)),IF(U79&lt;0,-1,1),0),0)</f>
        <v>0</v>
      </c>
      <c r="BN79" s="10" t="n">
        <f aca="false">IF(ISNUMBER(AD79),IF(AD79&gt;Parameters!$B$27,1,IF(AD79&lt;Parameters!$B$28,-1,0)),0)</f>
        <v>-1</v>
      </c>
      <c r="BO79" s="17" t="n">
        <f aca="false">BG79+BH79+BI79+BJ79+BK79+BL79+BM79+BN79</f>
        <v>-8</v>
      </c>
      <c r="BP79" s="10" t="n">
        <f aca="false">IF(ISNUMBER(F79),IF(F79&gt;=Parameters!$B$30,2,IF(F79&gt;=Parameters!$B$31,1,IF(F79&lt;=Parameters!$B$32,-1,0))),0)</f>
        <v>1</v>
      </c>
      <c r="BQ79" s="10" t="n">
        <f aca="false">IF(ISNUMBER(AK79),IF(AK79&gt;Parameters!$B$33,1,IF(AK79&lt;0,-1,0)),0)</f>
        <v>1</v>
      </c>
      <c r="BR79" s="10" t="n">
        <f aca="false">IF(ISNUMBER(AL79),IF(AL79&gt;Parameters!$B$34,1,IF(AL79&lt;0,-1,0)),0)</f>
        <v>1</v>
      </c>
      <c r="BS79" s="10" t="n">
        <f aca="false">IF(ISNUMBER(AP79),IF(AND(AP79&gt;0,AP79&lt;=Parameters!$B$35),1,IF(AP79&gt;Parameters!$B$36,-1,0)),0)</f>
        <v>0</v>
      </c>
      <c r="BT79" s="10" t="n">
        <f aca="false">IF(ISNUMBER(AY79),IF(AY79&gt;Parameters!$B$37,1,IF(AY79&lt;0,-1,0)),0)</f>
        <v>-1</v>
      </c>
      <c r="BU79" s="10" t="n">
        <f aca="false">IF(ISNUMBER(AZ79),IF(AZ79&gt;0,1,0),0)</f>
        <v>0</v>
      </c>
      <c r="BV79" s="10" t="n">
        <f aca="false">IF(ISNUMBER(AL79),IF(AL79&gt;Parameters!$B$39,2,IF(AL79&gt;Parameters!$B$40,1,IF(AL79&lt;0,-2,IF(AL79&lt;Parameters!$B$41,-1,0)))),0)</f>
        <v>2</v>
      </c>
      <c r="BW79" s="10" t="n">
        <f aca="false">IF(ISNUMBER(AV79),IF(AV79&gt;Parameters!$B$42,1,IF(AV79&lt;Parameters!$B$43,-1,0)),0)</f>
        <v>0</v>
      </c>
      <c r="BX79" s="10" t="n">
        <f aca="false">IF(AND(ISNUMBER(AX79),AX79&gt;0),1,IF(AND(ISNUMBER(AY79),AY79&lt;Parameters!$B$44),-1,0))</f>
        <v>0</v>
      </c>
      <c r="BY79" s="10" t="n">
        <f aca="false">IF(ISNUMBER(AW79),IF(AW79&gt;0,1,0),0)</f>
        <v>1</v>
      </c>
      <c r="BZ79" s="10" t="n">
        <f aca="false">IF(ISNUMBER(AQ79),IF(AQ79&gt;Parameters!$B$46,-2,IF(AQ79&gt;Parameters!$B$45,-1,0)),0)</f>
        <v>0</v>
      </c>
      <c r="CA79" s="10" t="n">
        <f aca="false">IF(ISNUMBER(F79),IF(F79&gt;=Parameters!$B$47,1,IF(F79&lt;=Parameters!$B$48,-1,0)),0)</f>
        <v>1</v>
      </c>
      <c r="CB79" s="17" t="n">
        <f aca="false">IF(BF79="Established",BP79+BQ79+BR79+BS79+BT79+BU79,IF(BF79="Early",BV79+BW79+BX79+BY79+BZ79+CA79,0))</f>
        <v>4</v>
      </c>
      <c r="CC79" s="18" t="n">
        <f aca="false">IF(BF79="Established",BO79+CB79,IF(BF79="Early",BO79+Parameters!$B$50*CB79,BO79))</f>
        <v>-6</v>
      </c>
      <c r="CD79" s="17" t="n">
        <f aca="false">IF(BF79="Established",IF(CC79&gt;=Parameters!$B$51,6,IF(CC79&gt;=Parameters!$B$52,5,IF(CC79&gt;=Parameters!$B$53,4,IF(CC79&gt;=Parameters!$B$54,3,IF(CC79&gt;=Parameters!$B$55,2,1))))),IF(BF79="Early",IF(CC79&gt;=Parameters!$B$56,5,IF(CC79&gt;=Parameters!$B$57,4,IF(CC79&gt;=Parameters!$B$58,3,IF(CC79&gt;=Parameters!$B$59,2,1)))),IF(CC79&gt;=Parameters!$B$60,6,IF(CC79&gt;=Parameters!$B$61,5,IF(CC79&gt;=Parameters!$B$62,4,IF(CC79&gt;=Parameters!$B$63,3,IF(CC79&gt;=Parameters!$B$64,2,1)))))))</f>
        <v>1</v>
      </c>
      <c r="CE79" s="10" t="n">
        <f aca="false">IF(AND(ISNUMBER(AR79),AR79&lt;Parameters!$B$66),1,0)</f>
        <v>0</v>
      </c>
      <c r="CF79" s="10" t="n">
        <f aca="false">IF(AND(LEFT(AH79,5)="Death",ISNUMBER(AG79)),IF(BF79="Early",IF(AND(AG79&lt;Parameters!$B$70,ISNUMBER(U79),U79&lt;Parameters!$B$71),1,0),IF(AND(AG79&lt;Parameters!$B$67,OR(AND(ISNUMBER(U79),U79&lt;Parameters!$B$68),AND(ISNUMBER(V79),V79&lt;Parameters!$B$69))),1,0)),0)</f>
        <v>1</v>
      </c>
      <c r="CG79" s="10" t="n">
        <f aca="false">IF(AND(ISNUMBER(AG79),AG79&lt;0),1,0)</f>
        <v>1</v>
      </c>
      <c r="CH79" s="10" t="n">
        <f aca="false">IF(OR(AND(ISNUMBER(U79),U79&gt;Parameters!$B$74),AND(ISNUMBER(AF79),AF79&gt;Parameters!$B$75),AND(ISNUMBER(AE79),AE79&gt;Parameters!$B$76)),1,0)</f>
        <v>0</v>
      </c>
      <c r="CI79" s="10" t="n">
        <f aca="false">IF(AND(ISNUMBER(BC79),BC79&gt;=0,BC79&lt;=Parameters!$B$77),1,0)</f>
        <v>0</v>
      </c>
      <c r="CJ79" s="17" t="n">
        <f aca="false">IF(CF79=1,1,MIN(CD79,IF(CE79=1,3,6),IF(CG79=1,IF(BF79="Early",Parameters!$B$73,Parameters!$B$72),6),IF(CH79=1,3,6),IF(CI79=1,3,6)))</f>
        <v>1</v>
      </c>
      <c r="CK79" s="10" t="str">
        <f aca="false">INDEX(Parameters!$F$2:$F$7,CJ79)</f>
        <v>Sell Immediately</v>
      </c>
      <c r="CL79" s="10" t="str">
        <f aca="false">IF(CF79=1,"Hard sell: breakdown; ","")&amp;IF(CE79=1,"Insufficient history; ","")&amp;IF(AND(CF79=0,CG79=1),"Below 200D; ","")&amp;IF(CH79=1,"Extended - wait for pullback; ","")&amp;IF(CI79=1,"Earnings within "&amp;Parameters!$B$77&amp;"d; ","")</f>
        <v>Hard sell: breakdown; </v>
      </c>
    </row>
    <row r="80" customFormat="false" ht="15" hidden="false" customHeight="false" outlineLevel="0" collapsed="false">
      <c r="A80" s="10" t="s">
        <v>500</v>
      </c>
      <c r="B80" s="10" t="n">
        <v>3</v>
      </c>
      <c r="C80" s="10" t="n">
        <v>3</v>
      </c>
      <c r="D80" s="10" t="n">
        <v>27.9</v>
      </c>
      <c r="E80" s="10" t="n">
        <v>-1.2</v>
      </c>
      <c r="F80" s="10" t="n">
        <v>4</v>
      </c>
      <c r="G80" s="10" t="s">
        <v>501</v>
      </c>
      <c r="H80" s="10" t="s">
        <v>386</v>
      </c>
      <c r="I80" s="10" t="n">
        <v>10.04</v>
      </c>
      <c r="J80" s="10" t="s">
        <v>295</v>
      </c>
      <c r="K80" s="10" t="s">
        <v>296</v>
      </c>
      <c r="L80" s="15" t="n">
        <v>32852771573</v>
      </c>
      <c r="M80" s="16" t="n">
        <v>46212</v>
      </c>
      <c r="N80" s="10" t="n">
        <v>-150</v>
      </c>
      <c r="O80" s="16" t="n">
        <v>46303</v>
      </c>
      <c r="P80" s="10" t="s">
        <v>297</v>
      </c>
      <c r="Q80" s="10" t="n">
        <v>-0.25</v>
      </c>
      <c r="R80" s="10" t="n">
        <v>-0.1</v>
      </c>
      <c r="S80" s="10" t="n">
        <v>-0.05</v>
      </c>
      <c r="T80" s="10" t="n">
        <v>-0.25</v>
      </c>
      <c r="U80" s="10" t="n">
        <v>-0.35</v>
      </c>
      <c r="V80" s="10" t="n">
        <v>-13.49</v>
      </c>
      <c r="W80" s="10" t="n">
        <v>-12.43</v>
      </c>
      <c r="X80" s="10" t="n">
        <v>25.12</v>
      </c>
      <c r="Y80" s="10"/>
      <c r="Z80" s="10"/>
      <c r="AA80" s="10"/>
      <c r="AB80" s="10"/>
      <c r="AC80" s="10" t="n">
        <v>-18.13</v>
      </c>
      <c r="AD80" s="10" t="n">
        <v>-27.12</v>
      </c>
      <c r="AE80" s="10" t="n">
        <v>45.9</v>
      </c>
      <c r="AF80" s="10" t="n">
        <v>-1.38</v>
      </c>
      <c r="AG80" s="10" t="n">
        <v>-7.76</v>
      </c>
      <c r="AH80" s="10" t="s">
        <v>502</v>
      </c>
      <c r="AI80" s="10" t="n">
        <v>0.01</v>
      </c>
      <c r="AJ80" s="10" t="n">
        <v>-43.39</v>
      </c>
      <c r="AK80" s="10" t="n">
        <v>-11.4</v>
      </c>
      <c r="AL80" s="10" t="n">
        <v>-6.1</v>
      </c>
      <c r="AM80" s="10" t="n">
        <v>12.01</v>
      </c>
      <c r="AN80" s="10" t="n">
        <v>26.08</v>
      </c>
      <c r="AO80" s="10" t="n">
        <v>16.25</v>
      </c>
      <c r="AP80" s="10" t="n">
        <v>-1.2</v>
      </c>
      <c r="AQ80" s="10" t="n">
        <v>2.14</v>
      </c>
      <c r="AR80" s="10" t="n">
        <v>300</v>
      </c>
      <c r="AS80" s="16" t="n">
        <v>46275</v>
      </c>
      <c r="AT80" s="15" t="n">
        <v>236681000000</v>
      </c>
      <c r="AU80" s="15" t="n">
        <v>112668000000</v>
      </c>
      <c r="AV80" s="10" t="n">
        <v>47.6</v>
      </c>
      <c r="AW80" s="15" t="n">
        <v>28428000000</v>
      </c>
      <c r="AX80" s="15" t="n">
        <v>3195560405</v>
      </c>
      <c r="AY80" s="10" t="n">
        <v>1.35</v>
      </c>
      <c r="AZ80" s="15" t="n">
        <v>-39478000000</v>
      </c>
      <c r="BA80" s="10" t="n">
        <v>27.51</v>
      </c>
      <c r="BB80" s="10" t="n">
        <v>36.69</v>
      </c>
      <c r="BC80" s="17" t="n">
        <f aca="false">IF(AND(ISNUMBER(O80),ISNUMBER(AS80)),O80-AS80,"")</f>
        <v>28</v>
      </c>
      <c r="BD80" s="10" t="n">
        <f aca="false">IF(OR(ISNUMBER(SEARCH("ETF",H80)),AND(F80="",AO80="")),1,0)</f>
        <v>0</v>
      </c>
      <c r="BE80" s="17" t="n">
        <f aca="false">IF(ISNUMBER(L80),IF(L80&gt;=Parameters!$B$3,2,IF(L80&gt;=Parameters!$B$4,1,0)),0)+IF(ISNUMBER(AW80),IF(AW80&gt;0,IF(AND(ISNUMBER(AM80),AM80&gt;=Parameters!$B$5),2,1),0),0)+IF(ISNUMBER(AX80),IF(AND(AX80&gt;0,ISNUMBER(AY80),AY80&gt;=Parameters!$B$6),1,0),0)+IF(ISNUMBER(AO80),IF(AND(AO80&gt;0,AO80&lt;=Parameters!$B$7),1,0),0)+IF(ISNUMBER(F80),IF(F80&gt;=Parameters!$B$8,1,0),0)</f>
        <v>4</v>
      </c>
      <c r="BF80" s="10" t="str">
        <f aca="false">IF(BD80=1,"ETF",IF(OR(AND(ISNUMBER(L80),L80&gt;=Parameters!$B$10),BE80&gt;=Parameters!$B$9),"Established","Early"))</f>
        <v>Early</v>
      </c>
      <c r="BG80" s="10" t="n">
        <f aca="false">IF(LEFT(AH80,6)="Golden",2,IF(LEFT(AH80,5)="Death",-2,0))</f>
        <v>-2</v>
      </c>
      <c r="BH80" s="10" t="n">
        <f aca="false">IF(ISNUMBER(AG80),IF(AG80&gt;Parameters!$B$12,2,IF(AG80&gt;0,1,IF(AG80&gt;=Parameters!$B$13,-1,-2))),0)</f>
        <v>-1</v>
      </c>
      <c r="BI80" s="10" t="n">
        <f aca="false">IF(ISNUMBER(AF80),IF(AND(AF80&gt;=Parameters!$B$14,AF80&lt;=Parameters!$B$15),1,IF(OR(AF80&gt;Parameters!$B$16,AF80&lt;Parameters!$B$17),-1,0)),0)</f>
        <v>1</v>
      </c>
      <c r="BJ80" s="10" t="n">
        <f aca="false">IF(ISNUMBER(AE80),IF(AND(AE80&gt;=Parameters!$B$18,AE80&lt;=Parameters!$B$19),1,IF(OR(AE80&gt;Parameters!$B$20,AE80&lt;Parameters!$B$21),-1,0)),0)</f>
        <v>1</v>
      </c>
      <c r="BK80" s="10" t="n">
        <f aca="false">IF(ISNUMBER(E80),IF(E80&gt;Parameters!$B$22,1,IF(E80&lt;Parameters!$B$23,-1,0)),0)</f>
        <v>0</v>
      </c>
      <c r="BL80" s="10" t="n">
        <f aca="false">IF(ISNUMBER(C80),IF(C80&gt;=Parameters!$B$24,1,IF(C80&lt;=Parameters!$B$25,-1,0)),0)</f>
        <v>-1</v>
      </c>
      <c r="BM80" s="10" t="n">
        <f aca="false">IF(ISNUMBER(AJ80),IF(AND(AJ80&gt;Parameters!$B$26,ISNUMBER(U80)),IF(U80&lt;0,-1,1),0),0)</f>
        <v>0</v>
      </c>
      <c r="BN80" s="10" t="n">
        <f aca="false">IF(ISNUMBER(AD80),IF(AD80&gt;Parameters!$B$27,1,IF(AD80&lt;Parameters!$B$28,-1,0)),0)</f>
        <v>0</v>
      </c>
      <c r="BO80" s="17" t="n">
        <f aca="false">BG80+BH80+BI80+BJ80+BK80+BL80+BM80+BN80</f>
        <v>-2</v>
      </c>
      <c r="BP80" s="10" t="n">
        <f aca="false">IF(ISNUMBER(F80),IF(F80&gt;=Parameters!$B$30,2,IF(F80&gt;=Parameters!$B$31,1,IF(F80&lt;=Parameters!$B$32,-1,0))),0)</f>
        <v>-1</v>
      </c>
      <c r="BQ80" s="10" t="n">
        <f aca="false">IF(ISNUMBER(AK80),IF(AK80&gt;Parameters!$B$33,1,IF(AK80&lt;0,-1,0)),0)</f>
        <v>-1</v>
      </c>
      <c r="BR80" s="10" t="n">
        <f aca="false">IF(ISNUMBER(AL80),IF(AL80&gt;Parameters!$B$34,1,IF(AL80&lt;0,-1,0)),0)</f>
        <v>-1</v>
      </c>
      <c r="BS80" s="10" t="n">
        <f aca="false">IF(ISNUMBER(AP80),IF(AND(AP80&gt;0,AP80&lt;=Parameters!$B$35),1,IF(AP80&gt;Parameters!$B$36,-1,0)),0)</f>
        <v>0</v>
      </c>
      <c r="BT80" s="10" t="n">
        <f aca="false">IF(ISNUMBER(AY80),IF(AY80&gt;Parameters!$B$37,1,IF(AY80&lt;0,-1,0)),0)</f>
        <v>0</v>
      </c>
      <c r="BU80" s="10" t="n">
        <f aca="false">IF(ISNUMBER(AZ80),IF(AZ80&gt;0,1,0),0)</f>
        <v>0</v>
      </c>
      <c r="BV80" s="10" t="n">
        <f aca="false">IF(ISNUMBER(AL80),IF(AL80&gt;Parameters!$B$39,2,IF(AL80&gt;Parameters!$B$40,1,IF(AL80&lt;0,-2,IF(AL80&lt;Parameters!$B$41,-1,0)))),0)</f>
        <v>-2</v>
      </c>
      <c r="BW80" s="10" t="n">
        <f aca="false">IF(ISNUMBER(AV80),IF(AV80&gt;Parameters!$B$42,1,IF(AV80&lt;Parameters!$B$43,-1,0)),0)</f>
        <v>0</v>
      </c>
      <c r="BX80" s="10" t="n">
        <f aca="false">IF(AND(ISNUMBER(AX80),AX80&gt;0),1,IF(AND(ISNUMBER(AY80),AY80&lt;Parameters!$B$44),-1,0))</f>
        <v>1</v>
      </c>
      <c r="BY80" s="10" t="n">
        <f aca="false">IF(ISNUMBER(AW80),IF(AW80&gt;0,1,0),0)</f>
        <v>1</v>
      </c>
      <c r="BZ80" s="10" t="n">
        <f aca="false">IF(ISNUMBER(AQ80),IF(AQ80&gt;Parameters!$B$46,-2,IF(AQ80&gt;Parameters!$B$45,-1,0)),0)</f>
        <v>0</v>
      </c>
      <c r="CA80" s="10" t="n">
        <f aca="false">IF(ISNUMBER(F80),IF(F80&gt;=Parameters!$B$47,1,IF(F80&lt;=Parameters!$B$48,-1,0)),0)</f>
        <v>0</v>
      </c>
      <c r="CB80" s="17" t="n">
        <f aca="false">IF(BF80="Established",BP80+BQ80+BR80+BS80+BT80+BU80,IF(BF80="Early",BV80+BW80+BX80+BY80+BZ80+CA80,0))</f>
        <v>0</v>
      </c>
      <c r="CC80" s="18" t="n">
        <f aca="false">IF(BF80="Established",BO80+CB80,IF(BF80="Early",BO80+Parameters!$B$50*CB80,BO80))</f>
        <v>-2</v>
      </c>
      <c r="CD80" s="17" t="n">
        <f aca="false">IF(BF80="Established",IF(CC80&gt;=Parameters!$B$51,6,IF(CC80&gt;=Parameters!$B$52,5,IF(CC80&gt;=Parameters!$B$53,4,IF(CC80&gt;=Parameters!$B$54,3,IF(CC80&gt;=Parameters!$B$55,2,1))))),IF(BF80="Early",IF(CC80&gt;=Parameters!$B$56,5,IF(CC80&gt;=Parameters!$B$57,4,IF(CC80&gt;=Parameters!$B$58,3,IF(CC80&gt;=Parameters!$B$59,2,1)))),IF(CC80&gt;=Parameters!$B$60,6,IF(CC80&gt;=Parameters!$B$61,5,IF(CC80&gt;=Parameters!$B$62,4,IF(CC80&gt;=Parameters!$B$63,3,IF(CC80&gt;=Parameters!$B$64,2,1)))))))</f>
        <v>2</v>
      </c>
      <c r="CE80" s="10" t="n">
        <f aca="false">IF(AND(ISNUMBER(AR80),AR80&lt;Parameters!$B$66),1,0)</f>
        <v>0</v>
      </c>
      <c r="CF80" s="10" t="n">
        <f aca="false">IF(AND(LEFT(AH80,5)="Death",ISNUMBER(AG80)),IF(BF80="Early",IF(AND(AG80&lt;Parameters!$B$70,ISNUMBER(U80),U80&lt;Parameters!$B$71),1,0),IF(AND(AG80&lt;Parameters!$B$67,OR(AND(ISNUMBER(U80),U80&lt;Parameters!$B$68),AND(ISNUMBER(V80),V80&lt;Parameters!$B$69))),1,0)),0)</f>
        <v>0</v>
      </c>
      <c r="CG80" s="10" t="n">
        <f aca="false">IF(AND(ISNUMBER(AG80),AG80&lt;0),1,0)</f>
        <v>1</v>
      </c>
      <c r="CH80" s="10" t="n">
        <f aca="false">IF(OR(AND(ISNUMBER(U80),U80&gt;Parameters!$B$74),AND(ISNUMBER(AF80),AF80&gt;Parameters!$B$75),AND(ISNUMBER(AE80),AE80&gt;Parameters!$B$76)),1,0)</f>
        <v>0</v>
      </c>
      <c r="CI80" s="10" t="n">
        <f aca="false">IF(AND(ISNUMBER(BC80),BC80&gt;=0,BC80&lt;=Parameters!$B$77),1,0)</f>
        <v>0</v>
      </c>
      <c r="CJ80" s="17" t="n">
        <f aca="false">IF(CF80=1,1,MIN(CD80,IF(CE80=1,3,6),IF(CG80=1,IF(BF80="Early",Parameters!$B$73,Parameters!$B$72),6),IF(CH80=1,3,6),IF(CI80=1,3,6)))</f>
        <v>2</v>
      </c>
      <c r="CK80" s="10" t="str">
        <f aca="false">INDEX(Parameters!$F$2:$F$7,CJ80)</f>
        <v>Avoid</v>
      </c>
      <c r="CL80" s="10" t="str">
        <f aca="false">IF(CF80=1,"Hard sell: breakdown; ","")&amp;IF(CE80=1,"Insufficient history; ","")&amp;IF(AND(CF80=0,CG80=1),"Below 200D; ","")&amp;IF(CH80=1,"Extended - wait for pullback; ","")&amp;IF(CI80=1,"Earnings within "&amp;Parameters!$B$77&amp;"d; ","")</f>
        <v>Below 200D; </v>
      </c>
    </row>
    <row r="81" customFormat="false" ht="15" hidden="false" customHeight="false" outlineLevel="0" collapsed="false">
      <c r="A81" s="10" t="s">
        <v>503</v>
      </c>
      <c r="B81" s="10" t="n">
        <v>3</v>
      </c>
      <c r="C81" s="10" t="n">
        <v>4</v>
      </c>
      <c r="D81" s="10" t="n">
        <v>46.6</v>
      </c>
      <c r="E81" s="10" t="n">
        <v>-13.4</v>
      </c>
      <c r="F81" s="10" t="n">
        <v>3</v>
      </c>
      <c r="G81" s="10" t="s">
        <v>504</v>
      </c>
      <c r="H81" s="10" t="s">
        <v>386</v>
      </c>
      <c r="I81" s="10" t="n">
        <v>16.77</v>
      </c>
      <c r="J81" s="10" t="s">
        <v>295</v>
      </c>
      <c r="K81" s="10" t="s">
        <v>366</v>
      </c>
      <c r="L81" s="15" t="n">
        <v>1986355316</v>
      </c>
      <c r="M81" s="16" t="n">
        <v>46260</v>
      </c>
      <c r="N81" s="10" t="n">
        <v>124.56</v>
      </c>
      <c r="O81" s="16" t="n">
        <v>46351</v>
      </c>
      <c r="P81" s="10" t="s">
        <v>297</v>
      </c>
      <c r="Q81" s="10" t="n">
        <v>-4.31</v>
      </c>
      <c r="R81" s="10" t="n">
        <v>-5.86</v>
      </c>
      <c r="S81" s="10" t="n">
        <v>-12.73</v>
      </c>
      <c r="T81" s="10" t="n">
        <v>-6.55</v>
      </c>
      <c r="U81" s="10" t="n">
        <v>-9.33</v>
      </c>
      <c r="V81" s="10" t="n">
        <v>5.64</v>
      </c>
      <c r="W81" s="10" t="n">
        <v>21.57</v>
      </c>
      <c r="X81" s="10" t="n">
        <v>0.87</v>
      </c>
      <c r="Y81" s="10"/>
      <c r="Z81" s="10"/>
      <c r="AA81" s="10"/>
      <c r="AB81" s="10"/>
      <c r="AC81" s="10" t="n">
        <v>1</v>
      </c>
      <c r="AD81" s="10" t="n">
        <v>-33.52</v>
      </c>
      <c r="AE81" s="10" t="n">
        <v>39.52</v>
      </c>
      <c r="AF81" s="10" t="n">
        <v>-8.06</v>
      </c>
      <c r="AG81" s="10" t="n">
        <v>-3.04</v>
      </c>
      <c r="AH81" s="10" t="s">
        <v>505</v>
      </c>
      <c r="AI81" s="10" t="n">
        <v>-0.12</v>
      </c>
      <c r="AJ81" s="10" t="n">
        <v>-37.41</v>
      </c>
      <c r="AK81" s="10" t="n">
        <v>-1.3</v>
      </c>
      <c r="AL81" s="10" t="n">
        <v>-0.9</v>
      </c>
      <c r="AM81" s="10" t="n">
        <v>1.75</v>
      </c>
      <c r="AN81" s="10" t="n">
        <v>6.67</v>
      </c>
      <c r="AO81" s="10" t="n">
        <v>12.02</v>
      </c>
      <c r="AP81" s="10" t="n">
        <v>-3.69</v>
      </c>
      <c r="AQ81" s="10" t="n">
        <v>26.76</v>
      </c>
      <c r="AR81" s="10" t="n">
        <v>300</v>
      </c>
      <c r="AS81" s="16" t="n">
        <v>46275</v>
      </c>
      <c r="AT81" s="15" t="n">
        <v>15429999616</v>
      </c>
      <c r="AU81" s="15" t="n">
        <v>6252000256</v>
      </c>
      <c r="AV81" s="10" t="n">
        <v>40.52</v>
      </c>
      <c r="AW81" s="15" t="n">
        <v>270000000</v>
      </c>
      <c r="AX81" s="15" t="n">
        <v>879500032</v>
      </c>
      <c r="AY81" s="10" t="n">
        <v>5.7</v>
      </c>
      <c r="AZ81" s="15" t="n">
        <v>-5600000192</v>
      </c>
      <c r="BA81" s="10" t="n">
        <v>47.32</v>
      </c>
      <c r="BB81" s="10" t="n">
        <v>38.91</v>
      </c>
      <c r="BC81" s="17" t="n">
        <f aca="false">IF(AND(ISNUMBER(O81),ISNUMBER(AS81)),O81-AS81,"")</f>
        <v>76</v>
      </c>
      <c r="BD81" s="10" t="n">
        <f aca="false">IF(OR(ISNUMBER(SEARCH("ETF",H81)),AND(F81="",AO81="")),1,0)</f>
        <v>0</v>
      </c>
      <c r="BE81" s="17" t="n">
        <f aca="false">IF(ISNUMBER(L81),IF(L81&gt;=Parameters!$B$3,2,IF(L81&gt;=Parameters!$B$4,1,0)),0)+IF(ISNUMBER(AW81),IF(AW81&gt;0,IF(AND(ISNUMBER(AM81),AM81&gt;=Parameters!$B$5),2,1),0),0)+IF(ISNUMBER(AX81),IF(AND(AX81&gt;0,ISNUMBER(AY81),AY81&gt;=Parameters!$B$6),1,0),0)+IF(ISNUMBER(AO81),IF(AND(AO81&gt;0,AO81&lt;=Parameters!$B$7),1,0),0)+IF(ISNUMBER(F81),IF(F81&gt;=Parameters!$B$8,1,0),0)</f>
        <v>3</v>
      </c>
      <c r="BF81" s="10" t="str">
        <f aca="false">IF(BD81=1,"ETF",IF(OR(AND(ISNUMBER(L81),L81&gt;=Parameters!$B$10),BE81&gt;=Parameters!$B$9),"Established","Early"))</f>
        <v>Early</v>
      </c>
      <c r="BG81" s="10" t="n">
        <f aca="false">IF(LEFT(AH81,6)="Golden",2,IF(LEFT(AH81,5)="Death",-2,0))</f>
        <v>2</v>
      </c>
      <c r="BH81" s="10" t="n">
        <f aca="false">IF(ISNUMBER(AG81),IF(AG81&gt;Parameters!$B$12,2,IF(AG81&gt;0,1,IF(AG81&gt;=Parameters!$B$13,-1,-2))),0)</f>
        <v>-1</v>
      </c>
      <c r="BI81" s="10" t="n">
        <f aca="false">IF(ISNUMBER(AF81),IF(AND(AF81&gt;=Parameters!$B$14,AF81&lt;=Parameters!$B$15),1,IF(OR(AF81&gt;Parameters!$B$16,AF81&lt;Parameters!$B$17),-1,0)),0)</f>
        <v>-1</v>
      </c>
      <c r="BJ81" s="10" t="n">
        <f aca="false">IF(ISNUMBER(AE81),IF(AND(AE81&gt;=Parameters!$B$18,AE81&lt;=Parameters!$B$19),1,IF(OR(AE81&gt;Parameters!$B$20,AE81&lt;Parameters!$B$21),-1,0)),0)</f>
        <v>0</v>
      </c>
      <c r="BK81" s="10" t="n">
        <f aca="false">IF(ISNUMBER(E81),IF(E81&gt;Parameters!$B$22,1,IF(E81&lt;Parameters!$B$23,-1,0)),0)</f>
        <v>-1</v>
      </c>
      <c r="BL81" s="10" t="n">
        <f aca="false">IF(ISNUMBER(C81),IF(C81&gt;=Parameters!$B$24,1,IF(C81&lt;=Parameters!$B$25,-1,0)),0)</f>
        <v>0</v>
      </c>
      <c r="BM81" s="10" t="n">
        <f aca="false">IF(ISNUMBER(AJ81),IF(AND(AJ81&gt;Parameters!$B$26,ISNUMBER(U81)),IF(U81&lt;0,-1,1),0),0)</f>
        <v>0</v>
      </c>
      <c r="BN81" s="10" t="n">
        <f aca="false">IF(ISNUMBER(AD81),IF(AD81&gt;Parameters!$B$27,1,IF(AD81&lt;Parameters!$B$28,-1,0)),0)</f>
        <v>-1</v>
      </c>
      <c r="BO81" s="17" t="n">
        <f aca="false">BG81+BH81+BI81+BJ81+BK81+BL81+BM81+BN81</f>
        <v>-2</v>
      </c>
      <c r="BP81" s="10" t="n">
        <f aca="false">IF(ISNUMBER(F81),IF(F81&gt;=Parameters!$B$30,2,IF(F81&gt;=Parameters!$B$31,1,IF(F81&lt;=Parameters!$B$32,-1,0))),0)</f>
        <v>-1</v>
      </c>
      <c r="BQ81" s="10" t="n">
        <f aca="false">IF(ISNUMBER(AK81),IF(AK81&gt;Parameters!$B$33,1,IF(AK81&lt;0,-1,0)),0)</f>
        <v>-1</v>
      </c>
      <c r="BR81" s="10" t="n">
        <f aca="false">IF(ISNUMBER(AL81),IF(AL81&gt;Parameters!$B$34,1,IF(AL81&lt;0,-1,0)),0)</f>
        <v>-1</v>
      </c>
      <c r="BS81" s="10" t="n">
        <f aca="false">IF(ISNUMBER(AP81),IF(AND(AP81&gt;0,AP81&lt;=Parameters!$B$35),1,IF(AP81&gt;Parameters!$B$36,-1,0)),0)</f>
        <v>0</v>
      </c>
      <c r="BT81" s="10" t="n">
        <f aca="false">IF(ISNUMBER(AY81),IF(AY81&gt;Parameters!$B$37,1,IF(AY81&lt;0,-1,0)),0)</f>
        <v>0</v>
      </c>
      <c r="BU81" s="10" t="n">
        <f aca="false">IF(ISNUMBER(AZ81),IF(AZ81&gt;0,1,0),0)</f>
        <v>0</v>
      </c>
      <c r="BV81" s="10" t="n">
        <f aca="false">IF(ISNUMBER(AL81),IF(AL81&gt;Parameters!$B$39,2,IF(AL81&gt;Parameters!$B$40,1,IF(AL81&lt;0,-2,IF(AL81&lt;Parameters!$B$41,-1,0)))),0)</f>
        <v>-2</v>
      </c>
      <c r="BW81" s="10" t="n">
        <f aca="false">IF(ISNUMBER(AV81),IF(AV81&gt;Parameters!$B$42,1,IF(AV81&lt;Parameters!$B$43,-1,0)),0)</f>
        <v>0</v>
      </c>
      <c r="BX81" s="10" t="n">
        <f aca="false">IF(AND(ISNUMBER(AX81),AX81&gt;0),1,IF(AND(ISNUMBER(AY81),AY81&lt;Parameters!$B$44),-1,0))</f>
        <v>1</v>
      </c>
      <c r="BY81" s="10" t="n">
        <f aca="false">IF(ISNUMBER(AW81),IF(AW81&gt;0,1,0),0)</f>
        <v>1</v>
      </c>
      <c r="BZ81" s="10" t="n">
        <f aca="false">IF(ISNUMBER(AQ81),IF(AQ81&gt;Parameters!$B$46,-2,IF(AQ81&gt;Parameters!$B$45,-1,0)),0)</f>
        <v>-2</v>
      </c>
      <c r="CA81" s="10" t="n">
        <f aca="false">IF(ISNUMBER(F81),IF(F81&gt;=Parameters!$B$47,1,IF(F81&lt;=Parameters!$B$48,-1,0)),0)</f>
        <v>-1</v>
      </c>
      <c r="CB81" s="17" t="n">
        <f aca="false">IF(BF81="Established",BP81+BQ81+BR81+BS81+BT81+BU81,IF(BF81="Early",BV81+BW81+BX81+BY81+BZ81+CA81,0))</f>
        <v>-3</v>
      </c>
      <c r="CC81" s="18" t="n">
        <f aca="false">IF(BF81="Established",BO81+CB81,IF(BF81="Early",BO81+Parameters!$B$50*CB81,BO81))</f>
        <v>-3.5</v>
      </c>
      <c r="CD81" s="17" t="n">
        <f aca="false">IF(BF81="Established",IF(CC81&gt;=Parameters!$B$51,6,IF(CC81&gt;=Parameters!$B$52,5,IF(CC81&gt;=Parameters!$B$53,4,IF(CC81&gt;=Parameters!$B$54,3,IF(CC81&gt;=Parameters!$B$55,2,1))))),IF(BF81="Early",IF(CC81&gt;=Parameters!$B$56,5,IF(CC81&gt;=Parameters!$B$57,4,IF(CC81&gt;=Parameters!$B$58,3,IF(CC81&gt;=Parameters!$B$59,2,1)))),IF(CC81&gt;=Parameters!$B$60,6,IF(CC81&gt;=Parameters!$B$61,5,IF(CC81&gt;=Parameters!$B$62,4,IF(CC81&gt;=Parameters!$B$63,3,IF(CC81&gt;=Parameters!$B$64,2,1)))))))</f>
        <v>2</v>
      </c>
      <c r="CE81" s="10" t="n">
        <f aca="false">IF(AND(ISNUMBER(AR81),AR81&lt;Parameters!$B$66),1,0)</f>
        <v>0</v>
      </c>
      <c r="CF81" s="10" t="n">
        <f aca="false">IF(AND(LEFT(AH81,5)="Death",ISNUMBER(AG81)),IF(BF81="Early",IF(AND(AG81&lt;Parameters!$B$70,ISNUMBER(U81),U81&lt;Parameters!$B$71),1,0),IF(AND(AG81&lt;Parameters!$B$67,OR(AND(ISNUMBER(U81),U81&lt;Parameters!$B$68),AND(ISNUMBER(V81),V81&lt;Parameters!$B$69))),1,0)),0)</f>
        <v>0</v>
      </c>
      <c r="CG81" s="10" t="n">
        <f aca="false">IF(AND(ISNUMBER(AG81),AG81&lt;0),1,0)</f>
        <v>1</v>
      </c>
      <c r="CH81" s="10" t="n">
        <f aca="false">IF(OR(AND(ISNUMBER(U81),U81&gt;Parameters!$B$74),AND(ISNUMBER(AF81),AF81&gt;Parameters!$B$75),AND(ISNUMBER(AE81),AE81&gt;Parameters!$B$76)),1,0)</f>
        <v>0</v>
      </c>
      <c r="CI81" s="10" t="n">
        <f aca="false">IF(AND(ISNUMBER(BC81),BC81&gt;=0,BC81&lt;=Parameters!$B$77),1,0)</f>
        <v>0</v>
      </c>
      <c r="CJ81" s="17" t="n">
        <f aca="false">IF(CF81=1,1,MIN(CD81,IF(CE81=1,3,6),IF(CG81=1,IF(BF81="Early",Parameters!$B$73,Parameters!$B$72),6),IF(CH81=1,3,6),IF(CI81=1,3,6)))</f>
        <v>2</v>
      </c>
      <c r="CK81" s="10" t="str">
        <f aca="false">INDEX(Parameters!$F$2:$F$7,CJ81)</f>
        <v>Avoid</v>
      </c>
      <c r="CL81" s="10" t="str">
        <f aca="false">IF(CF81=1,"Hard sell: breakdown; ","")&amp;IF(CE81=1,"Insufficient history; ","")&amp;IF(AND(CF81=0,CG81=1),"Below 200D; ","")&amp;IF(CH81=1,"Extended - wait for pullback; ","")&amp;IF(CI81=1,"Earnings within "&amp;Parameters!$B$77&amp;"d; ","")</f>
        <v>Below 200D; </v>
      </c>
    </row>
    <row r="82" customFormat="false" ht="15" hidden="false" customHeight="false" outlineLevel="0" collapsed="false">
      <c r="A82" s="10" t="s">
        <v>506</v>
      </c>
      <c r="B82" s="10" t="n">
        <v>3</v>
      </c>
      <c r="C82" s="10" t="n">
        <v>2</v>
      </c>
      <c r="D82" s="10" t="n">
        <v>14.5</v>
      </c>
      <c r="E82" s="10" t="n">
        <v>1.9</v>
      </c>
      <c r="F82" s="10" t="n">
        <v>5</v>
      </c>
      <c r="G82" s="10" t="s">
        <v>507</v>
      </c>
      <c r="H82" s="10" t="s">
        <v>349</v>
      </c>
      <c r="I82" s="10" t="n">
        <v>6.46</v>
      </c>
      <c r="J82" s="10" t="s">
        <v>295</v>
      </c>
      <c r="K82" s="10" t="s">
        <v>360</v>
      </c>
      <c r="L82" s="15" t="n">
        <v>6350177601</v>
      </c>
      <c r="M82" s="16" t="n">
        <v>46239</v>
      </c>
      <c r="N82" s="10" t="n">
        <v>8.7</v>
      </c>
      <c r="O82" s="16" t="n">
        <v>46330</v>
      </c>
      <c r="P82" s="10" t="s">
        <v>297</v>
      </c>
      <c r="Q82" s="10" t="n">
        <v>0.55</v>
      </c>
      <c r="R82" s="10" t="n">
        <v>-6.14</v>
      </c>
      <c r="S82" s="10" t="n">
        <v>-5.35</v>
      </c>
      <c r="T82" s="10" t="n">
        <v>-9.59</v>
      </c>
      <c r="U82" s="10" t="n">
        <v>-23.34</v>
      </c>
      <c r="V82" s="10" t="n">
        <v>-27.14</v>
      </c>
      <c r="W82" s="10" t="n">
        <v>-36.9</v>
      </c>
      <c r="X82" s="10" t="n">
        <v>-51.9</v>
      </c>
      <c r="Y82" s="10"/>
      <c r="Z82" s="10"/>
      <c r="AA82" s="10"/>
      <c r="AB82" s="10"/>
      <c r="AC82" s="10" t="n">
        <v>-31.79</v>
      </c>
      <c r="AD82" s="10" t="n">
        <v>-67.69</v>
      </c>
      <c r="AE82" s="10" t="n">
        <v>33.87</v>
      </c>
      <c r="AF82" s="10" t="n">
        <v>-14.56</v>
      </c>
      <c r="AG82" s="10" t="n">
        <v>-37.01</v>
      </c>
      <c r="AH82" s="10" t="s">
        <v>377</v>
      </c>
      <c r="AI82" s="10" t="n">
        <v>-0.05</v>
      </c>
      <c r="AJ82" s="10" t="n">
        <v>1.38</v>
      </c>
      <c r="AK82" s="10" t="n">
        <v>257493.33</v>
      </c>
      <c r="AL82" s="10" t="n">
        <v>257493.3</v>
      </c>
      <c r="AM82" s="10" t="n">
        <v>-755.11</v>
      </c>
      <c r="AN82" s="10" t="n">
        <v>-65.9</v>
      </c>
      <c r="AO82" s="10" t="n">
        <v>-10.45</v>
      </c>
      <c r="AP82" s="10" t="n">
        <v>0.15</v>
      </c>
      <c r="AQ82" s="10" t="n">
        <v>15.27</v>
      </c>
      <c r="AR82" s="10" t="n">
        <v>300</v>
      </c>
      <c r="AS82" s="16" t="n">
        <v>46275</v>
      </c>
      <c r="AT82" s="15" t="n">
        <v>116295000</v>
      </c>
      <c r="AU82" s="15" t="n">
        <v>39876000</v>
      </c>
      <c r="AV82" s="10" t="n">
        <v>34.29</v>
      </c>
      <c r="AW82" s="15" t="n">
        <v>-878155008</v>
      </c>
      <c r="AX82" s="15" t="n">
        <v>-436446240</v>
      </c>
      <c r="AY82" s="10" t="n">
        <v>-375.29</v>
      </c>
      <c r="AZ82" s="15" t="n">
        <v>1516112896</v>
      </c>
      <c r="BA82" s="10" t="n">
        <v>3.28</v>
      </c>
      <c r="BB82" s="10" t="n">
        <v>1.49</v>
      </c>
      <c r="BC82" s="17" t="n">
        <f aca="false">IF(AND(ISNUMBER(O82),ISNUMBER(AS82)),O82-AS82,"")</f>
        <v>55</v>
      </c>
      <c r="BD82" s="10" t="n">
        <f aca="false">IF(OR(ISNUMBER(SEARCH("ETF",H82)),AND(F82="",AO82="")),1,0)</f>
        <v>0</v>
      </c>
      <c r="BE82" s="17" t="n">
        <f aca="false">IF(ISNUMBER(L82),IF(L82&gt;=Parameters!$B$3,2,IF(L82&gt;=Parameters!$B$4,1,0)),0)+IF(ISNUMBER(AW82),IF(AW82&gt;0,IF(AND(ISNUMBER(AM82),AM82&gt;=Parameters!$B$5),2,1),0),0)+IF(ISNUMBER(AX82),IF(AND(AX82&gt;0,ISNUMBER(AY82),AY82&gt;=Parameters!$B$6),1,0),0)+IF(ISNUMBER(AO82),IF(AND(AO82&gt;0,AO82&lt;=Parameters!$B$7),1,0),0)+IF(ISNUMBER(F82),IF(F82&gt;=Parameters!$B$8,1,0),0)</f>
        <v>0</v>
      </c>
      <c r="BF82" s="10" t="str">
        <f aca="false">IF(BD82=1,"ETF",IF(OR(AND(ISNUMBER(L82),L82&gt;=Parameters!$B$10),BE82&gt;=Parameters!$B$9),"Established","Early"))</f>
        <v>Early</v>
      </c>
      <c r="BG82" s="10" t="n">
        <f aca="false">IF(LEFT(AH82,6)="Golden",2,IF(LEFT(AH82,5)="Death",-2,0))</f>
        <v>-2</v>
      </c>
      <c r="BH82" s="10" t="n">
        <f aca="false">IF(ISNUMBER(AG82),IF(AG82&gt;Parameters!$B$12,2,IF(AG82&gt;0,1,IF(AG82&gt;=Parameters!$B$13,-1,-2))),0)</f>
        <v>-2</v>
      </c>
      <c r="BI82" s="10" t="n">
        <f aca="false">IF(ISNUMBER(AF82),IF(AND(AF82&gt;=Parameters!$B$14,AF82&lt;=Parameters!$B$15),1,IF(OR(AF82&gt;Parameters!$B$16,AF82&lt;Parameters!$B$17),-1,0)),0)</f>
        <v>-1</v>
      </c>
      <c r="BJ82" s="10" t="n">
        <f aca="false">IF(ISNUMBER(AE82),IF(AND(AE82&gt;=Parameters!$B$18,AE82&lt;=Parameters!$B$19),1,IF(OR(AE82&gt;Parameters!$B$20,AE82&lt;Parameters!$B$21),-1,0)),0)</f>
        <v>-1</v>
      </c>
      <c r="BK82" s="10" t="n">
        <f aca="false">IF(ISNUMBER(E82),IF(E82&gt;Parameters!$B$22,1,IF(E82&lt;Parameters!$B$23,-1,0)),0)</f>
        <v>0</v>
      </c>
      <c r="BL82" s="10" t="n">
        <f aca="false">IF(ISNUMBER(C82),IF(C82&gt;=Parameters!$B$24,1,IF(C82&lt;=Parameters!$B$25,-1,0)),0)</f>
        <v>-1</v>
      </c>
      <c r="BM82" s="10" t="n">
        <f aca="false">IF(ISNUMBER(AJ82),IF(AND(AJ82&gt;Parameters!$B$26,ISNUMBER(U82)),IF(U82&lt;0,-1,1),0),0)</f>
        <v>0</v>
      </c>
      <c r="BN82" s="10" t="n">
        <f aca="false">IF(ISNUMBER(AD82),IF(AD82&gt;Parameters!$B$27,1,IF(AD82&lt;Parameters!$B$28,-1,0)),0)</f>
        <v>-1</v>
      </c>
      <c r="BO82" s="17" t="n">
        <f aca="false">BG82+BH82+BI82+BJ82+BK82+BL82+BM82+BN82</f>
        <v>-8</v>
      </c>
      <c r="BP82" s="10" t="n">
        <f aca="false">IF(ISNUMBER(F82),IF(F82&gt;=Parameters!$B$30,2,IF(F82&gt;=Parameters!$B$31,1,IF(F82&lt;=Parameters!$B$32,-1,0))),0)</f>
        <v>0</v>
      </c>
      <c r="BQ82" s="10" t="n">
        <f aca="false">IF(ISNUMBER(AK82),IF(AK82&gt;Parameters!$B$33,1,IF(AK82&lt;0,-1,0)),0)</f>
        <v>1</v>
      </c>
      <c r="BR82" s="10" t="n">
        <f aca="false">IF(ISNUMBER(AL82),IF(AL82&gt;Parameters!$B$34,1,IF(AL82&lt;0,-1,0)),0)</f>
        <v>1</v>
      </c>
      <c r="BS82" s="10" t="n">
        <f aca="false">IF(ISNUMBER(AP82),IF(AND(AP82&gt;0,AP82&lt;=Parameters!$B$35),1,IF(AP82&gt;Parameters!$B$36,-1,0)),0)</f>
        <v>1</v>
      </c>
      <c r="BT82" s="10" t="n">
        <f aca="false">IF(ISNUMBER(AY82),IF(AY82&gt;Parameters!$B$37,1,IF(AY82&lt;0,-1,0)),0)</f>
        <v>-1</v>
      </c>
      <c r="BU82" s="10" t="n">
        <f aca="false">IF(ISNUMBER(AZ82),IF(AZ82&gt;0,1,0),0)</f>
        <v>1</v>
      </c>
      <c r="BV82" s="10" t="n">
        <f aca="false">IF(ISNUMBER(AL82),IF(AL82&gt;Parameters!$B$39,2,IF(AL82&gt;Parameters!$B$40,1,IF(AL82&lt;0,-2,IF(AL82&lt;Parameters!$B$41,-1,0)))),0)</f>
        <v>2</v>
      </c>
      <c r="BW82" s="10" t="n">
        <f aca="false">IF(ISNUMBER(AV82),IF(AV82&gt;Parameters!$B$42,1,IF(AV82&lt;Parameters!$B$43,-1,0)),0)</f>
        <v>0</v>
      </c>
      <c r="BX82" s="10" t="n">
        <f aca="false">IF(AND(ISNUMBER(AX82),AX82&gt;0),1,IF(AND(ISNUMBER(AY82),AY82&lt;Parameters!$B$44),-1,0))</f>
        <v>-1</v>
      </c>
      <c r="BY82" s="10" t="n">
        <f aca="false">IF(ISNUMBER(AW82),IF(AW82&gt;0,1,0),0)</f>
        <v>0</v>
      </c>
      <c r="BZ82" s="10" t="n">
        <f aca="false">IF(ISNUMBER(AQ82),IF(AQ82&gt;Parameters!$B$46,-2,IF(AQ82&gt;Parameters!$B$45,-1,0)),0)</f>
        <v>-1</v>
      </c>
      <c r="CA82" s="10" t="n">
        <f aca="false">IF(ISNUMBER(F82),IF(F82&gt;=Parameters!$B$47,1,IF(F82&lt;=Parameters!$B$48,-1,0)),0)</f>
        <v>0</v>
      </c>
      <c r="CB82" s="17" t="n">
        <f aca="false">IF(BF82="Established",BP82+BQ82+BR82+BS82+BT82+BU82,IF(BF82="Early",BV82+BW82+BX82+BY82+BZ82+CA82,0))</f>
        <v>0</v>
      </c>
      <c r="CC82" s="18" t="n">
        <f aca="false">IF(BF82="Established",BO82+CB82,IF(BF82="Early",BO82+Parameters!$B$50*CB82,BO82))</f>
        <v>-8</v>
      </c>
      <c r="CD82" s="17" t="n">
        <f aca="false">IF(BF82="Established",IF(CC82&gt;=Parameters!$B$51,6,IF(CC82&gt;=Parameters!$B$52,5,IF(CC82&gt;=Parameters!$B$53,4,IF(CC82&gt;=Parameters!$B$54,3,IF(CC82&gt;=Parameters!$B$55,2,1))))),IF(BF82="Early",IF(CC82&gt;=Parameters!$B$56,5,IF(CC82&gt;=Parameters!$B$57,4,IF(CC82&gt;=Parameters!$B$58,3,IF(CC82&gt;=Parameters!$B$59,2,1)))),IF(CC82&gt;=Parameters!$B$60,6,IF(CC82&gt;=Parameters!$B$61,5,IF(CC82&gt;=Parameters!$B$62,4,IF(CC82&gt;=Parameters!$B$63,3,IF(CC82&gt;=Parameters!$B$64,2,1)))))))</f>
        <v>1</v>
      </c>
      <c r="CE82" s="10" t="n">
        <f aca="false">IF(AND(ISNUMBER(AR82),AR82&lt;Parameters!$B$66),1,0)</f>
        <v>0</v>
      </c>
      <c r="CF82" s="10" t="n">
        <f aca="false">IF(AND(LEFT(AH82,5)="Death",ISNUMBER(AG82)),IF(BF82="Early",IF(AND(AG82&lt;Parameters!$B$70,ISNUMBER(U82),U82&lt;Parameters!$B$71),1,0),IF(AND(AG82&lt;Parameters!$B$67,OR(AND(ISNUMBER(U82),U82&lt;Parameters!$B$68),AND(ISNUMBER(V82),V82&lt;Parameters!$B$69))),1,0)),0)</f>
        <v>1</v>
      </c>
      <c r="CG82" s="10" t="n">
        <f aca="false">IF(AND(ISNUMBER(AG82),AG82&lt;0),1,0)</f>
        <v>1</v>
      </c>
      <c r="CH82" s="10" t="n">
        <f aca="false">IF(OR(AND(ISNUMBER(U82),U82&gt;Parameters!$B$74),AND(ISNUMBER(AF82),AF82&gt;Parameters!$B$75),AND(ISNUMBER(AE82),AE82&gt;Parameters!$B$76)),1,0)</f>
        <v>0</v>
      </c>
      <c r="CI82" s="10" t="n">
        <f aca="false">IF(AND(ISNUMBER(BC82),BC82&gt;=0,BC82&lt;=Parameters!$B$77),1,0)</f>
        <v>0</v>
      </c>
      <c r="CJ82" s="17" t="n">
        <f aca="false">IF(CF82=1,1,MIN(CD82,IF(CE82=1,3,6),IF(CG82=1,IF(BF82="Early",Parameters!$B$73,Parameters!$B$72),6),IF(CH82=1,3,6),IF(CI82=1,3,6)))</f>
        <v>1</v>
      </c>
      <c r="CK82" s="10" t="str">
        <f aca="false">INDEX(Parameters!$F$2:$F$7,CJ82)</f>
        <v>Sell Immediately</v>
      </c>
      <c r="CL82" s="10" t="str">
        <f aca="false">IF(CF82=1,"Hard sell: breakdown; ","")&amp;IF(CE82=1,"Insufficient history; ","")&amp;IF(AND(CF82=0,CG82=1),"Below 200D; ","")&amp;IF(CH82=1,"Extended - wait for pullback; ","")&amp;IF(CI82=1,"Earnings within "&amp;Parameters!$B$77&amp;"d; ","")</f>
        <v>Hard sell: breakdown; </v>
      </c>
    </row>
    <row r="83" customFormat="false" ht="15" hidden="false" customHeight="false" outlineLevel="0" collapsed="false">
      <c r="A83" s="10" t="s">
        <v>508</v>
      </c>
      <c r="B83" s="10" t="n">
        <v>3</v>
      </c>
      <c r="C83" s="10" t="n">
        <v>3</v>
      </c>
      <c r="D83" s="10" t="n">
        <v>27.9</v>
      </c>
      <c r="E83" s="10" t="n">
        <v>-5.6</v>
      </c>
      <c r="F83" s="10" t="n">
        <v>4</v>
      </c>
      <c r="G83" s="10" t="s">
        <v>509</v>
      </c>
      <c r="H83" s="10" t="s">
        <v>386</v>
      </c>
      <c r="I83" s="10" t="n">
        <v>237.06</v>
      </c>
      <c r="J83" s="10" t="s">
        <v>295</v>
      </c>
      <c r="K83" s="10" t="s">
        <v>296</v>
      </c>
      <c r="L83" s="15" t="n">
        <v>226055725536</v>
      </c>
      <c r="M83" s="16" t="n">
        <v>46266</v>
      </c>
      <c r="N83" s="10" t="n">
        <v>23.53</v>
      </c>
      <c r="O83" s="16" t="n">
        <v>46357</v>
      </c>
      <c r="P83" s="10" t="s">
        <v>297</v>
      </c>
      <c r="Q83" s="10" t="n">
        <v>-1.2</v>
      </c>
      <c r="R83" s="10" t="n">
        <v>3.38</v>
      </c>
      <c r="S83" s="10" t="n">
        <v>2.31</v>
      </c>
      <c r="T83" s="10" t="n">
        <v>3.13</v>
      </c>
      <c r="U83" s="10" t="n">
        <v>-0.57</v>
      </c>
      <c r="V83" s="10" t="n">
        <v>-12.96</v>
      </c>
      <c r="W83" s="10" t="n">
        <v>-4.75</v>
      </c>
      <c r="X83" s="10" t="n">
        <v>-8.51</v>
      </c>
      <c r="Y83" s="10"/>
      <c r="Z83" s="10"/>
      <c r="AA83" s="10"/>
      <c r="AB83" s="10"/>
      <c r="AC83" s="10" t="n">
        <v>-17.6</v>
      </c>
      <c r="AD83" s="10" t="n">
        <v>-28.7</v>
      </c>
      <c r="AE83" s="10" t="n">
        <v>51.91</v>
      </c>
      <c r="AF83" s="10" t="n">
        <v>-0.78</v>
      </c>
      <c r="AG83" s="10" t="n">
        <v>-9.36</v>
      </c>
      <c r="AH83" s="10" t="s">
        <v>377</v>
      </c>
      <c r="AI83" s="10" t="n">
        <v>0.81</v>
      </c>
      <c r="AJ83" s="10" t="n">
        <v>-14.67</v>
      </c>
      <c r="AK83" s="10" t="n">
        <v>-1.3</v>
      </c>
      <c r="AL83" s="10" t="n">
        <v>1.1</v>
      </c>
      <c r="AM83" s="10" t="n">
        <v>15.49</v>
      </c>
      <c r="AN83" s="10" t="n">
        <v>34.46</v>
      </c>
      <c r="AO83" s="10" t="n">
        <v>17.64</v>
      </c>
      <c r="AP83" s="10" t="n">
        <v>-8.12</v>
      </c>
      <c r="AQ83" s="10" t="n">
        <v>2.35</v>
      </c>
      <c r="AR83" s="10" t="n">
        <v>300</v>
      </c>
      <c r="AS83" s="16" t="n">
        <v>46275</v>
      </c>
      <c r="AT83" s="15" t="n">
        <v>69094998016</v>
      </c>
      <c r="AU83" s="15" t="n">
        <v>40142999552</v>
      </c>
      <c r="AV83" s="10" t="n">
        <v>58.1</v>
      </c>
      <c r="AW83" s="15" t="n">
        <v>10705000448</v>
      </c>
      <c r="AX83" s="15" t="n">
        <v>12049750016</v>
      </c>
      <c r="AY83" s="10" t="n">
        <v>17.44</v>
      </c>
      <c r="AZ83" s="15" t="n">
        <v>-57140000768</v>
      </c>
      <c r="BA83" s="10" t="n">
        <v>19.01</v>
      </c>
      <c r="BB83" s="10" t="n">
        <v>28.41</v>
      </c>
      <c r="BC83" s="17" t="n">
        <f aca="false">IF(AND(ISNUMBER(O83),ISNUMBER(AS83)),O83-AS83,"")</f>
        <v>82</v>
      </c>
      <c r="BD83" s="10" t="n">
        <f aca="false">IF(OR(ISNUMBER(SEARCH("ETF",H83)),AND(F83="",AO83="")),1,0)</f>
        <v>0</v>
      </c>
      <c r="BE83" s="17" t="n">
        <f aca="false">IF(ISNUMBER(L83),IF(L83&gt;=Parameters!$B$3,2,IF(L83&gt;=Parameters!$B$4,1,0)),0)+IF(ISNUMBER(AW83),IF(AW83&gt;0,IF(AND(ISNUMBER(AM83),AM83&gt;=Parameters!$B$5),2,1),0),0)+IF(ISNUMBER(AX83),IF(AND(AX83&gt;0,ISNUMBER(AY83),AY83&gt;=Parameters!$B$6),1,0),0)+IF(ISNUMBER(AO83),IF(AND(AO83&gt;0,AO83&lt;=Parameters!$B$7),1,0),0)+IF(ISNUMBER(F83),IF(F83&gt;=Parameters!$B$8,1,0),0)</f>
        <v>6</v>
      </c>
      <c r="BF83" s="10" t="str">
        <f aca="false">IF(BD83=1,"ETF",IF(OR(AND(ISNUMBER(L83),L83&gt;=Parameters!$B$10),BE83&gt;=Parameters!$B$9),"Established","Early"))</f>
        <v>Established</v>
      </c>
      <c r="BG83" s="10" t="n">
        <f aca="false">IF(LEFT(AH83,6)="Golden",2,IF(LEFT(AH83,5)="Death",-2,0))</f>
        <v>-2</v>
      </c>
      <c r="BH83" s="10" t="n">
        <f aca="false">IF(ISNUMBER(AG83),IF(AG83&gt;Parameters!$B$12,2,IF(AG83&gt;0,1,IF(AG83&gt;=Parameters!$B$13,-1,-2))),0)</f>
        <v>-1</v>
      </c>
      <c r="BI83" s="10" t="n">
        <f aca="false">IF(ISNUMBER(AF83),IF(AND(AF83&gt;=Parameters!$B$14,AF83&lt;=Parameters!$B$15),1,IF(OR(AF83&gt;Parameters!$B$16,AF83&lt;Parameters!$B$17),-1,0)),0)</f>
        <v>1</v>
      </c>
      <c r="BJ83" s="10" t="n">
        <f aca="false">IF(ISNUMBER(AE83),IF(AND(AE83&gt;=Parameters!$B$18,AE83&lt;=Parameters!$B$19),1,IF(OR(AE83&gt;Parameters!$B$20,AE83&lt;Parameters!$B$21),-1,0)),0)</f>
        <v>1</v>
      </c>
      <c r="BK83" s="10" t="n">
        <f aca="false">IF(ISNUMBER(E83),IF(E83&gt;Parameters!$B$22,1,IF(E83&lt;Parameters!$B$23,-1,0)),0)</f>
        <v>-1</v>
      </c>
      <c r="BL83" s="10" t="n">
        <f aca="false">IF(ISNUMBER(C83),IF(C83&gt;=Parameters!$B$24,1,IF(C83&lt;=Parameters!$B$25,-1,0)),0)</f>
        <v>-1</v>
      </c>
      <c r="BM83" s="10" t="n">
        <f aca="false">IF(ISNUMBER(AJ83),IF(AND(AJ83&gt;Parameters!$B$26,ISNUMBER(U83)),IF(U83&lt;0,-1,1),0),0)</f>
        <v>0</v>
      </c>
      <c r="BN83" s="10" t="n">
        <f aca="false">IF(ISNUMBER(AD83),IF(AD83&gt;Parameters!$B$27,1,IF(AD83&lt;Parameters!$B$28,-1,0)),0)</f>
        <v>0</v>
      </c>
      <c r="BO83" s="17" t="n">
        <f aca="false">BG83+BH83+BI83+BJ83+BK83+BL83+BM83+BN83</f>
        <v>-3</v>
      </c>
      <c r="BP83" s="10" t="n">
        <f aca="false">IF(ISNUMBER(F83),IF(F83&gt;=Parameters!$B$30,2,IF(F83&gt;=Parameters!$B$31,1,IF(F83&lt;=Parameters!$B$32,-1,0))),0)</f>
        <v>-1</v>
      </c>
      <c r="BQ83" s="10" t="n">
        <f aca="false">IF(ISNUMBER(AK83),IF(AK83&gt;Parameters!$B$33,1,IF(AK83&lt;0,-1,0)),0)</f>
        <v>-1</v>
      </c>
      <c r="BR83" s="10" t="n">
        <f aca="false">IF(ISNUMBER(AL83),IF(AL83&gt;Parameters!$B$34,1,IF(AL83&lt;0,-1,0)),0)</f>
        <v>0</v>
      </c>
      <c r="BS83" s="10" t="n">
        <f aca="false">IF(ISNUMBER(AP83),IF(AND(AP83&gt;0,AP83&lt;=Parameters!$B$35),1,IF(AP83&gt;Parameters!$B$36,-1,0)),0)</f>
        <v>0</v>
      </c>
      <c r="BT83" s="10" t="n">
        <f aca="false">IF(ISNUMBER(AY83),IF(AY83&gt;Parameters!$B$37,1,IF(AY83&lt;0,-1,0)),0)</f>
        <v>1</v>
      </c>
      <c r="BU83" s="10" t="n">
        <f aca="false">IF(ISNUMBER(AZ83),IF(AZ83&gt;0,1,0),0)</f>
        <v>0</v>
      </c>
      <c r="BV83" s="10" t="n">
        <f aca="false">IF(ISNUMBER(AL83),IF(AL83&gt;Parameters!$B$39,2,IF(AL83&gt;Parameters!$B$40,1,IF(AL83&lt;0,-2,IF(AL83&lt;Parameters!$B$41,-1,0)))),0)</f>
        <v>-1</v>
      </c>
      <c r="BW83" s="10" t="n">
        <f aca="false">IF(ISNUMBER(AV83),IF(AV83&gt;Parameters!$B$42,1,IF(AV83&lt;Parameters!$B$43,-1,0)),0)</f>
        <v>1</v>
      </c>
      <c r="BX83" s="10" t="n">
        <f aca="false">IF(AND(ISNUMBER(AX83),AX83&gt;0),1,IF(AND(ISNUMBER(AY83),AY83&lt;Parameters!$B$44),-1,0))</f>
        <v>1</v>
      </c>
      <c r="BY83" s="10" t="n">
        <f aca="false">IF(ISNUMBER(AW83),IF(AW83&gt;0,1,0),0)</f>
        <v>1</v>
      </c>
      <c r="BZ83" s="10" t="n">
        <f aca="false">IF(ISNUMBER(AQ83),IF(AQ83&gt;Parameters!$B$46,-2,IF(AQ83&gt;Parameters!$B$45,-1,0)),0)</f>
        <v>0</v>
      </c>
      <c r="CA83" s="10" t="n">
        <f aca="false">IF(ISNUMBER(F83),IF(F83&gt;=Parameters!$B$47,1,IF(F83&lt;=Parameters!$B$48,-1,0)),0)</f>
        <v>0</v>
      </c>
      <c r="CB83" s="17" t="n">
        <f aca="false">IF(BF83="Established",BP83+BQ83+BR83+BS83+BT83+BU83,IF(BF83="Early",BV83+BW83+BX83+BY83+BZ83+CA83,0))</f>
        <v>-1</v>
      </c>
      <c r="CC83" s="18" t="n">
        <f aca="false">IF(BF83="Established",BO83+CB83,IF(BF83="Early",BO83+Parameters!$B$50*CB83,BO83))</f>
        <v>-4</v>
      </c>
      <c r="CD83" s="17" t="n">
        <f aca="false">IF(BF83="Established",IF(CC83&gt;=Parameters!$B$51,6,IF(CC83&gt;=Parameters!$B$52,5,IF(CC83&gt;=Parameters!$B$53,4,IF(CC83&gt;=Parameters!$B$54,3,IF(CC83&gt;=Parameters!$B$55,2,1))))),IF(BF83="Early",IF(CC83&gt;=Parameters!$B$56,5,IF(CC83&gt;=Parameters!$B$57,4,IF(CC83&gt;=Parameters!$B$58,3,IF(CC83&gt;=Parameters!$B$59,2,1)))),IF(CC83&gt;=Parameters!$B$60,6,IF(CC83&gt;=Parameters!$B$61,5,IF(CC83&gt;=Parameters!$B$62,4,IF(CC83&gt;=Parameters!$B$63,3,IF(CC83&gt;=Parameters!$B$64,2,1)))))))</f>
        <v>2</v>
      </c>
      <c r="CE83" s="10" t="n">
        <f aca="false">IF(AND(ISNUMBER(AR83),AR83&lt;Parameters!$B$66),1,0)</f>
        <v>0</v>
      </c>
      <c r="CF83" s="10" t="n">
        <f aca="false">IF(AND(LEFT(AH83,5)="Death",ISNUMBER(AG83)),IF(BF83="Early",IF(AND(AG83&lt;Parameters!$B$70,ISNUMBER(U83),U83&lt;Parameters!$B$71),1,0),IF(AND(AG83&lt;Parameters!$B$67,OR(AND(ISNUMBER(U83),U83&lt;Parameters!$B$68),AND(ISNUMBER(V83),V83&lt;Parameters!$B$69))),1,0)),0)</f>
        <v>0</v>
      </c>
      <c r="CG83" s="10" t="n">
        <f aca="false">IF(AND(ISNUMBER(AG83),AG83&lt;0),1,0)</f>
        <v>1</v>
      </c>
      <c r="CH83" s="10" t="n">
        <f aca="false">IF(OR(AND(ISNUMBER(U83),U83&gt;Parameters!$B$74),AND(ISNUMBER(AF83),AF83&gt;Parameters!$B$75),AND(ISNUMBER(AE83),AE83&gt;Parameters!$B$76)),1,0)</f>
        <v>0</v>
      </c>
      <c r="CI83" s="10" t="n">
        <f aca="false">IF(AND(ISNUMBER(BC83),BC83&gt;=0,BC83&lt;=Parameters!$B$77),1,0)</f>
        <v>0</v>
      </c>
      <c r="CJ83" s="17" t="n">
        <f aca="false">IF(CF83=1,1,MIN(CD83,IF(CE83=1,3,6),IF(CG83=1,IF(BF83="Early",Parameters!$B$73,Parameters!$B$72),6),IF(CH83=1,3,6),IF(CI83=1,3,6)))</f>
        <v>2</v>
      </c>
      <c r="CK83" s="10" t="str">
        <f aca="false">INDEX(Parameters!$F$2:$F$7,CJ83)</f>
        <v>Avoid</v>
      </c>
      <c r="CL83" s="10" t="str">
        <f aca="false">IF(CF83=1,"Hard sell: breakdown; ","")&amp;IF(CE83=1,"Insufficient history; ","")&amp;IF(AND(CF83=0,CG83=1),"Below 200D; ","")&amp;IF(CH83=1,"Extended - wait for pullback; ","")&amp;IF(CI83=1,"Earnings within "&amp;Parameters!$B$77&amp;"d; ","")</f>
        <v>Below 200D; </v>
      </c>
    </row>
    <row r="84" customFormat="false" ht="15" hidden="false" customHeight="false" outlineLevel="0" collapsed="false">
      <c r="A84" s="10" t="s">
        <v>510</v>
      </c>
      <c r="B84" s="10" t="n">
        <v>3</v>
      </c>
      <c r="C84" s="10" t="n">
        <v>3</v>
      </c>
      <c r="D84" s="10" t="n">
        <v>17.7</v>
      </c>
      <c r="E84" s="10" t="n">
        <v>6.1</v>
      </c>
      <c r="F84" s="10" t="n">
        <v>4</v>
      </c>
      <c r="G84" s="10" t="s">
        <v>511</v>
      </c>
      <c r="H84" s="10" t="s">
        <v>334</v>
      </c>
      <c r="I84" s="10" t="n">
        <v>148.68</v>
      </c>
      <c r="J84" s="10" t="s">
        <v>295</v>
      </c>
      <c r="K84" s="10" t="s">
        <v>426</v>
      </c>
      <c r="L84" s="15" t="n">
        <v>50714481320</v>
      </c>
      <c r="M84" s="16" t="n">
        <v>46244</v>
      </c>
      <c r="N84" s="10" t="n">
        <v>-53.37</v>
      </c>
      <c r="O84" s="16" t="n">
        <v>46335</v>
      </c>
      <c r="P84" s="10" t="s">
        <v>297</v>
      </c>
      <c r="Q84" s="10" t="n">
        <v>-1.6</v>
      </c>
      <c r="R84" s="10" t="n">
        <v>-0.41</v>
      </c>
      <c r="S84" s="10" t="n">
        <v>3.64</v>
      </c>
      <c r="T84" s="10" t="n">
        <v>6.18</v>
      </c>
      <c r="U84" s="10" t="n">
        <v>2.59</v>
      </c>
      <c r="V84" s="10" t="n">
        <v>7.32</v>
      </c>
      <c r="W84" s="10" t="n">
        <v>-6.58</v>
      </c>
      <c r="X84" s="10" t="n">
        <v>-23.27</v>
      </c>
      <c r="Y84" s="10"/>
      <c r="Z84" s="10"/>
      <c r="AA84" s="10"/>
      <c r="AB84" s="10"/>
      <c r="AC84" s="10" t="n">
        <v>2.68</v>
      </c>
      <c r="AD84" s="10" t="n">
        <v>-32.36</v>
      </c>
      <c r="AE84" s="10" t="n">
        <v>55.14</v>
      </c>
      <c r="AF84" s="10" t="n">
        <v>-0.2</v>
      </c>
      <c r="AG84" s="10" t="n">
        <v>-5.53</v>
      </c>
      <c r="AH84" s="10" t="s">
        <v>377</v>
      </c>
      <c r="AI84" s="10" t="n">
        <v>1.83</v>
      </c>
      <c r="AJ84" s="10" t="n">
        <v>1.05</v>
      </c>
      <c r="AK84" s="10" t="n">
        <v>-6.7</v>
      </c>
      <c r="AL84" s="10" t="n">
        <v>-5.5</v>
      </c>
      <c r="AM84" s="10" t="n">
        <v>10.55</v>
      </c>
      <c r="AN84" s="10" t="n">
        <v>42.96</v>
      </c>
      <c r="AO84" s="10" t="n">
        <v>14.4</v>
      </c>
      <c r="AP84" s="10" t="n">
        <v>-3.6</v>
      </c>
      <c r="AQ84" s="10" t="n">
        <v>3.08</v>
      </c>
      <c r="AR84" s="10" t="n">
        <v>300</v>
      </c>
      <c r="AS84" s="16" t="n">
        <v>46275</v>
      </c>
      <c r="AT84" s="15" t="n">
        <v>19211999232</v>
      </c>
      <c r="AU84" s="15" t="n">
        <v>7360000000</v>
      </c>
      <c r="AV84" s="10" t="n">
        <v>38.31</v>
      </c>
      <c r="AW84" s="15" t="n">
        <v>2027000064</v>
      </c>
      <c r="AX84" s="15" t="n">
        <v>37125000</v>
      </c>
      <c r="AY84" s="10" t="n">
        <v>0.19</v>
      </c>
      <c r="AZ84" s="15" t="n">
        <v>-20073000256</v>
      </c>
      <c r="BA84" s="10" t="n">
        <v>12.08</v>
      </c>
      <c r="BB84" s="10" t="n">
        <v>18.38</v>
      </c>
      <c r="BC84" s="17" t="n">
        <f aca="false">IF(AND(ISNUMBER(O84),ISNUMBER(AS84)),O84-AS84,"")</f>
        <v>60</v>
      </c>
      <c r="BD84" s="10" t="n">
        <f aca="false">IF(OR(ISNUMBER(SEARCH("ETF",H84)),AND(F84="",AO84="")),1,0)</f>
        <v>0</v>
      </c>
      <c r="BE84" s="17" t="n">
        <f aca="false">IF(ISNUMBER(L84),IF(L84&gt;=Parameters!$B$3,2,IF(L84&gt;=Parameters!$B$4,1,0)),0)+IF(ISNUMBER(AW84),IF(AW84&gt;0,IF(AND(ISNUMBER(AM84),AM84&gt;=Parameters!$B$5),2,1),0),0)+IF(ISNUMBER(AX84),IF(AND(AX84&gt;0,ISNUMBER(AY84),AY84&gt;=Parameters!$B$6),1,0),0)+IF(ISNUMBER(AO84),IF(AND(AO84&gt;0,AO84&lt;=Parameters!$B$7),1,0),0)+IF(ISNUMBER(F84),IF(F84&gt;=Parameters!$B$8,1,0),0)</f>
        <v>4</v>
      </c>
      <c r="BF84" s="10" t="str">
        <f aca="false">IF(BD84=1,"ETF",IF(OR(AND(ISNUMBER(L84),L84&gt;=Parameters!$B$10),BE84&gt;=Parameters!$B$9),"Established","Early"))</f>
        <v>Early</v>
      </c>
      <c r="BG84" s="10" t="n">
        <f aca="false">IF(LEFT(AH84,6)="Golden",2,IF(LEFT(AH84,5)="Death",-2,0))</f>
        <v>-2</v>
      </c>
      <c r="BH84" s="10" t="n">
        <f aca="false">IF(ISNUMBER(AG84),IF(AG84&gt;Parameters!$B$12,2,IF(AG84&gt;0,1,IF(AG84&gt;=Parameters!$B$13,-1,-2))),0)</f>
        <v>-1</v>
      </c>
      <c r="BI84" s="10" t="n">
        <f aca="false">IF(ISNUMBER(AF84),IF(AND(AF84&gt;=Parameters!$B$14,AF84&lt;=Parameters!$B$15),1,IF(OR(AF84&gt;Parameters!$B$16,AF84&lt;Parameters!$B$17),-1,0)),0)</f>
        <v>1</v>
      </c>
      <c r="BJ84" s="10" t="n">
        <f aca="false">IF(ISNUMBER(AE84),IF(AND(AE84&gt;=Parameters!$B$18,AE84&lt;=Parameters!$B$19),1,IF(OR(AE84&gt;Parameters!$B$20,AE84&lt;Parameters!$B$21),-1,0)),0)</f>
        <v>1</v>
      </c>
      <c r="BK84" s="10" t="n">
        <f aca="false">IF(ISNUMBER(E84),IF(E84&gt;Parameters!$B$22,1,IF(E84&lt;Parameters!$B$23,-1,0)),0)</f>
        <v>1</v>
      </c>
      <c r="BL84" s="10" t="n">
        <f aca="false">IF(ISNUMBER(C84),IF(C84&gt;=Parameters!$B$24,1,IF(C84&lt;=Parameters!$B$25,-1,0)),0)</f>
        <v>-1</v>
      </c>
      <c r="BM84" s="10" t="n">
        <f aca="false">IF(ISNUMBER(AJ84),IF(AND(AJ84&gt;Parameters!$B$26,ISNUMBER(U84)),IF(U84&lt;0,-1,1),0),0)</f>
        <v>0</v>
      </c>
      <c r="BN84" s="10" t="n">
        <f aca="false">IF(ISNUMBER(AD84),IF(AD84&gt;Parameters!$B$27,1,IF(AD84&lt;Parameters!$B$28,-1,0)),0)</f>
        <v>-1</v>
      </c>
      <c r="BO84" s="17" t="n">
        <f aca="false">BG84+BH84+BI84+BJ84+BK84+BL84+BM84+BN84</f>
        <v>-2</v>
      </c>
      <c r="BP84" s="10" t="n">
        <f aca="false">IF(ISNUMBER(F84),IF(F84&gt;=Parameters!$B$30,2,IF(F84&gt;=Parameters!$B$31,1,IF(F84&lt;=Parameters!$B$32,-1,0))),0)</f>
        <v>-1</v>
      </c>
      <c r="BQ84" s="10" t="n">
        <f aca="false">IF(ISNUMBER(AK84),IF(AK84&gt;Parameters!$B$33,1,IF(AK84&lt;0,-1,0)),0)</f>
        <v>-1</v>
      </c>
      <c r="BR84" s="10" t="n">
        <f aca="false">IF(ISNUMBER(AL84),IF(AL84&gt;Parameters!$B$34,1,IF(AL84&lt;0,-1,0)),0)</f>
        <v>-1</v>
      </c>
      <c r="BS84" s="10" t="n">
        <f aca="false">IF(ISNUMBER(AP84),IF(AND(AP84&gt;0,AP84&lt;=Parameters!$B$35),1,IF(AP84&gt;Parameters!$B$36,-1,0)),0)</f>
        <v>0</v>
      </c>
      <c r="BT84" s="10" t="n">
        <f aca="false">IF(ISNUMBER(AY84),IF(AY84&gt;Parameters!$B$37,1,IF(AY84&lt;0,-1,0)),0)</f>
        <v>0</v>
      </c>
      <c r="BU84" s="10" t="n">
        <f aca="false">IF(ISNUMBER(AZ84),IF(AZ84&gt;0,1,0),0)</f>
        <v>0</v>
      </c>
      <c r="BV84" s="10" t="n">
        <f aca="false">IF(ISNUMBER(AL84),IF(AL84&gt;Parameters!$B$39,2,IF(AL84&gt;Parameters!$B$40,1,IF(AL84&lt;0,-2,IF(AL84&lt;Parameters!$B$41,-1,0)))),0)</f>
        <v>-2</v>
      </c>
      <c r="BW84" s="10" t="n">
        <f aca="false">IF(ISNUMBER(AV84),IF(AV84&gt;Parameters!$B$42,1,IF(AV84&lt;Parameters!$B$43,-1,0)),0)</f>
        <v>0</v>
      </c>
      <c r="BX84" s="10" t="n">
        <f aca="false">IF(AND(ISNUMBER(AX84),AX84&gt;0),1,IF(AND(ISNUMBER(AY84),AY84&lt;Parameters!$B$44),-1,0))</f>
        <v>1</v>
      </c>
      <c r="BY84" s="10" t="n">
        <f aca="false">IF(ISNUMBER(AW84),IF(AW84&gt;0,1,0),0)</f>
        <v>1</v>
      </c>
      <c r="BZ84" s="10" t="n">
        <f aca="false">IF(ISNUMBER(AQ84),IF(AQ84&gt;Parameters!$B$46,-2,IF(AQ84&gt;Parameters!$B$45,-1,0)),0)</f>
        <v>0</v>
      </c>
      <c r="CA84" s="10" t="n">
        <f aca="false">IF(ISNUMBER(F84),IF(F84&gt;=Parameters!$B$47,1,IF(F84&lt;=Parameters!$B$48,-1,0)),0)</f>
        <v>0</v>
      </c>
      <c r="CB84" s="17" t="n">
        <f aca="false">IF(BF84="Established",BP84+BQ84+BR84+BS84+BT84+BU84,IF(BF84="Early",BV84+BW84+BX84+BY84+BZ84+CA84,0))</f>
        <v>0</v>
      </c>
      <c r="CC84" s="18" t="n">
        <f aca="false">IF(BF84="Established",BO84+CB84,IF(BF84="Early",BO84+Parameters!$B$50*CB84,BO84))</f>
        <v>-2</v>
      </c>
      <c r="CD84" s="17" t="n">
        <f aca="false">IF(BF84="Established",IF(CC84&gt;=Parameters!$B$51,6,IF(CC84&gt;=Parameters!$B$52,5,IF(CC84&gt;=Parameters!$B$53,4,IF(CC84&gt;=Parameters!$B$54,3,IF(CC84&gt;=Parameters!$B$55,2,1))))),IF(BF84="Early",IF(CC84&gt;=Parameters!$B$56,5,IF(CC84&gt;=Parameters!$B$57,4,IF(CC84&gt;=Parameters!$B$58,3,IF(CC84&gt;=Parameters!$B$59,2,1)))),IF(CC84&gt;=Parameters!$B$60,6,IF(CC84&gt;=Parameters!$B$61,5,IF(CC84&gt;=Parameters!$B$62,4,IF(CC84&gt;=Parameters!$B$63,3,IF(CC84&gt;=Parameters!$B$64,2,1)))))))</f>
        <v>2</v>
      </c>
      <c r="CE84" s="10" t="n">
        <f aca="false">IF(AND(ISNUMBER(AR84),AR84&lt;Parameters!$B$66),1,0)</f>
        <v>0</v>
      </c>
      <c r="CF84" s="10" t="n">
        <f aca="false">IF(AND(LEFT(AH84,5)="Death",ISNUMBER(AG84)),IF(BF84="Early",IF(AND(AG84&lt;Parameters!$B$70,ISNUMBER(U84),U84&lt;Parameters!$B$71),1,0),IF(AND(AG84&lt;Parameters!$B$67,OR(AND(ISNUMBER(U84),U84&lt;Parameters!$B$68),AND(ISNUMBER(V84),V84&lt;Parameters!$B$69))),1,0)),0)</f>
        <v>0</v>
      </c>
      <c r="CG84" s="10" t="n">
        <f aca="false">IF(AND(ISNUMBER(AG84),AG84&lt;0),1,0)</f>
        <v>1</v>
      </c>
      <c r="CH84" s="10" t="n">
        <f aca="false">IF(OR(AND(ISNUMBER(U84),U84&gt;Parameters!$B$74),AND(ISNUMBER(AF84),AF84&gt;Parameters!$B$75),AND(ISNUMBER(AE84),AE84&gt;Parameters!$B$76)),1,0)</f>
        <v>0</v>
      </c>
      <c r="CI84" s="10" t="n">
        <f aca="false">IF(AND(ISNUMBER(BC84),BC84&gt;=0,BC84&lt;=Parameters!$B$77),1,0)</f>
        <v>0</v>
      </c>
      <c r="CJ84" s="17" t="n">
        <f aca="false">IF(CF84=1,1,MIN(CD84,IF(CE84=1,3,6),IF(CG84=1,IF(BF84="Early",Parameters!$B$73,Parameters!$B$72),6),IF(CH84=1,3,6),IF(CI84=1,3,6)))</f>
        <v>2</v>
      </c>
      <c r="CK84" s="10" t="str">
        <f aca="false">INDEX(Parameters!$F$2:$F$7,CJ84)</f>
        <v>Avoid</v>
      </c>
      <c r="CL84" s="10" t="str">
        <f aca="false">IF(CF84=1,"Hard sell: breakdown; ","")&amp;IF(CE84=1,"Insufficient history; ","")&amp;IF(AND(CF84=0,CG84=1),"Below 200D; ","")&amp;IF(CH84=1,"Extended - wait for pullback; ","")&amp;IF(CI84=1,"Earnings within "&amp;Parameters!$B$77&amp;"d; ","")</f>
        <v>Below 200D; </v>
      </c>
    </row>
    <row r="85" customFormat="false" ht="15" hidden="false" customHeight="false" outlineLevel="0" collapsed="false">
      <c r="A85" s="10" t="s">
        <v>512</v>
      </c>
      <c r="B85" s="10" t="n">
        <v>3</v>
      </c>
      <c r="C85" s="10" t="n">
        <v>3</v>
      </c>
      <c r="D85" s="10" t="n">
        <v>17.4</v>
      </c>
      <c r="E85" s="10" t="n">
        <v>-0.4</v>
      </c>
      <c r="F85" s="10" t="n">
        <v>5</v>
      </c>
      <c r="G85" s="10" t="s">
        <v>513</v>
      </c>
      <c r="H85" s="10" t="s">
        <v>514</v>
      </c>
      <c r="I85" s="10" t="n">
        <v>78.08</v>
      </c>
      <c r="J85" s="10" t="s">
        <v>295</v>
      </c>
      <c r="K85" s="10" t="s">
        <v>366</v>
      </c>
      <c r="L85" s="15" t="n">
        <v>111893195877</v>
      </c>
      <c r="M85" s="16" t="n">
        <v>46258</v>
      </c>
      <c r="N85" s="10" t="n">
        <v>5.34</v>
      </c>
      <c r="O85" s="16" t="n">
        <v>46349</v>
      </c>
      <c r="P85" s="10" t="s">
        <v>297</v>
      </c>
      <c r="Q85" s="10" t="n">
        <v>-0.67</v>
      </c>
      <c r="R85" s="10" t="n">
        <v>-1.43</v>
      </c>
      <c r="S85" s="10" t="n">
        <v>-5.07</v>
      </c>
      <c r="T85" s="10" t="n">
        <v>-9.98</v>
      </c>
      <c r="U85" s="10" t="n">
        <v>-13.72</v>
      </c>
      <c r="V85" s="10" t="n">
        <v>-4.57</v>
      </c>
      <c r="W85" s="10" t="n">
        <v>-24.15</v>
      </c>
      <c r="X85" s="10" t="n">
        <v>-38.06</v>
      </c>
      <c r="Y85" s="10"/>
      <c r="Z85" s="10"/>
      <c r="AA85" s="10"/>
      <c r="AB85" s="10"/>
      <c r="AC85" s="10" t="n">
        <v>-9.21</v>
      </c>
      <c r="AD85" s="10" t="n">
        <v>-43.99</v>
      </c>
      <c r="AE85" s="10" t="n">
        <v>30.74</v>
      </c>
      <c r="AF85" s="10" t="n">
        <v>-8.94</v>
      </c>
      <c r="AG85" s="10" t="n">
        <v>-19.9</v>
      </c>
      <c r="AH85" s="10" t="s">
        <v>377</v>
      </c>
      <c r="AI85" s="10" t="n">
        <v>-0.94</v>
      </c>
      <c r="AJ85" s="10" t="n">
        <v>-17.52</v>
      </c>
      <c r="AK85" s="10" t="n">
        <v>-11.6</v>
      </c>
      <c r="AL85" s="10" t="n">
        <v>8.1</v>
      </c>
      <c r="AM85" s="10" t="n">
        <v>20.43</v>
      </c>
      <c r="AN85" s="10" t="n">
        <v>22.75</v>
      </c>
      <c r="AO85" s="10" t="n">
        <v>6.63</v>
      </c>
      <c r="AP85" s="10" t="n">
        <v>-0.73</v>
      </c>
      <c r="AQ85" s="10" t="n">
        <v>4</v>
      </c>
      <c r="AR85" s="10" t="n">
        <v>300</v>
      </c>
      <c r="AS85" s="16" t="n">
        <v>46275</v>
      </c>
      <c r="AT85" s="15" t="n">
        <v>67165581049</v>
      </c>
      <c r="AU85" s="15" t="n">
        <v>37826475917</v>
      </c>
      <c r="AV85" s="10" t="n">
        <v>56.32</v>
      </c>
      <c r="AW85" s="15" t="n">
        <v>13719255531</v>
      </c>
      <c r="AX85" s="15" t="n">
        <v>11120655556</v>
      </c>
      <c r="AY85" s="10" t="n">
        <v>16.56</v>
      </c>
      <c r="AZ85" s="15" t="n">
        <v>67283930438</v>
      </c>
      <c r="BA85" s="10" t="n">
        <v>8.53</v>
      </c>
      <c r="BB85" s="10" t="n">
        <v>9.1</v>
      </c>
      <c r="BC85" s="17" t="n">
        <f aca="false">IF(AND(ISNUMBER(O85),ISNUMBER(AS85)),O85-AS85,"")</f>
        <v>74</v>
      </c>
      <c r="BD85" s="10" t="n">
        <f aca="false">IF(OR(ISNUMBER(SEARCH("ETF",H85)),AND(F85="",AO85="")),1,0)</f>
        <v>0</v>
      </c>
      <c r="BE85" s="17" t="n">
        <f aca="false">IF(ISNUMBER(L85),IF(L85&gt;=Parameters!$B$3,2,IF(L85&gt;=Parameters!$B$4,1,0)),0)+IF(ISNUMBER(AW85),IF(AW85&gt;0,IF(AND(ISNUMBER(AM85),AM85&gt;=Parameters!$B$5),2,1),0),0)+IF(ISNUMBER(AX85),IF(AND(AX85&gt;0,ISNUMBER(AY85),AY85&gt;=Parameters!$B$6),1,0),0)+IF(ISNUMBER(AO85),IF(AND(AO85&gt;0,AO85&lt;=Parameters!$B$7),1,0),0)+IF(ISNUMBER(F85),IF(F85&gt;=Parameters!$B$8,1,0),0)</f>
        <v>6</v>
      </c>
      <c r="BF85" s="10" t="str">
        <f aca="false">IF(BD85=1,"ETF",IF(OR(AND(ISNUMBER(L85),L85&gt;=Parameters!$B$10),BE85&gt;=Parameters!$B$9),"Established","Early"))</f>
        <v>Established</v>
      </c>
      <c r="BG85" s="10" t="n">
        <f aca="false">IF(LEFT(AH85,6)="Golden",2,IF(LEFT(AH85,5)="Death",-2,0))</f>
        <v>-2</v>
      </c>
      <c r="BH85" s="10" t="n">
        <f aca="false">IF(ISNUMBER(AG85),IF(AG85&gt;Parameters!$B$12,2,IF(AG85&gt;0,1,IF(AG85&gt;=Parameters!$B$13,-1,-2))),0)</f>
        <v>-2</v>
      </c>
      <c r="BI85" s="10" t="n">
        <f aca="false">IF(ISNUMBER(AF85),IF(AND(AF85&gt;=Parameters!$B$14,AF85&lt;=Parameters!$B$15),1,IF(OR(AF85&gt;Parameters!$B$16,AF85&lt;Parameters!$B$17),-1,0)),0)</f>
        <v>-1</v>
      </c>
      <c r="BJ85" s="10" t="n">
        <f aca="false">IF(ISNUMBER(AE85),IF(AND(AE85&gt;=Parameters!$B$18,AE85&lt;=Parameters!$B$19),1,IF(OR(AE85&gt;Parameters!$B$20,AE85&lt;Parameters!$B$21),-1,0)),0)</f>
        <v>-1</v>
      </c>
      <c r="BK85" s="10" t="n">
        <f aca="false">IF(ISNUMBER(E85),IF(E85&gt;Parameters!$B$22,1,IF(E85&lt;Parameters!$B$23,-1,0)),0)</f>
        <v>0</v>
      </c>
      <c r="BL85" s="10" t="n">
        <f aca="false">IF(ISNUMBER(C85),IF(C85&gt;=Parameters!$B$24,1,IF(C85&lt;=Parameters!$B$25,-1,0)),0)</f>
        <v>-1</v>
      </c>
      <c r="BM85" s="10" t="n">
        <f aca="false">IF(ISNUMBER(AJ85),IF(AND(AJ85&gt;Parameters!$B$26,ISNUMBER(U85)),IF(U85&lt;0,-1,1),0),0)</f>
        <v>0</v>
      </c>
      <c r="BN85" s="10" t="n">
        <f aca="false">IF(ISNUMBER(AD85),IF(AD85&gt;Parameters!$B$27,1,IF(AD85&lt;Parameters!$B$28,-1,0)),0)</f>
        <v>-1</v>
      </c>
      <c r="BO85" s="17" t="n">
        <f aca="false">BG85+BH85+BI85+BJ85+BK85+BL85+BM85+BN85</f>
        <v>-8</v>
      </c>
      <c r="BP85" s="10" t="n">
        <f aca="false">IF(ISNUMBER(F85),IF(F85&gt;=Parameters!$B$30,2,IF(F85&gt;=Parameters!$B$31,1,IF(F85&lt;=Parameters!$B$32,-1,0))),0)</f>
        <v>0</v>
      </c>
      <c r="BQ85" s="10" t="n">
        <f aca="false">IF(ISNUMBER(AK85),IF(AK85&gt;Parameters!$B$33,1,IF(AK85&lt;0,-1,0)),0)</f>
        <v>-1</v>
      </c>
      <c r="BR85" s="10" t="n">
        <f aca="false">IF(ISNUMBER(AL85),IF(AL85&gt;Parameters!$B$34,1,IF(AL85&lt;0,-1,0)),0)</f>
        <v>0</v>
      </c>
      <c r="BS85" s="10" t="n">
        <f aca="false">IF(ISNUMBER(AP85),IF(AND(AP85&gt;0,AP85&lt;=Parameters!$B$35),1,IF(AP85&gt;Parameters!$B$36,-1,0)),0)</f>
        <v>0</v>
      </c>
      <c r="BT85" s="10" t="n">
        <f aca="false">IF(ISNUMBER(AY85),IF(AY85&gt;Parameters!$B$37,1,IF(AY85&lt;0,-1,0)),0)</f>
        <v>1</v>
      </c>
      <c r="BU85" s="10" t="n">
        <f aca="false">IF(ISNUMBER(AZ85),IF(AZ85&gt;0,1,0),0)</f>
        <v>1</v>
      </c>
      <c r="BV85" s="10" t="n">
        <f aca="false">IF(ISNUMBER(AL85),IF(AL85&gt;Parameters!$B$39,2,IF(AL85&gt;Parameters!$B$40,1,IF(AL85&lt;0,-2,IF(AL85&lt;Parameters!$B$41,-1,0)))),0)</f>
        <v>0</v>
      </c>
      <c r="BW85" s="10" t="n">
        <f aca="false">IF(ISNUMBER(AV85),IF(AV85&gt;Parameters!$B$42,1,IF(AV85&lt;Parameters!$B$43,-1,0)),0)</f>
        <v>1</v>
      </c>
      <c r="BX85" s="10" t="n">
        <f aca="false">IF(AND(ISNUMBER(AX85),AX85&gt;0),1,IF(AND(ISNUMBER(AY85),AY85&lt;Parameters!$B$44),-1,0))</f>
        <v>1</v>
      </c>
      <c r="BY85" s="10" t="n">
        <f aca="false">IF(ISNUMBER(AW85),IF(AW85&gt;0,1,0),0)</f>
        <v>1</v>
      </c>
      <c r="BZ85" s="10" t="n">
        <f aca="false">IF(ISNUMBER(AQ85),IF(AQ85&gt;Parameters!$B$46,-2,IF(AQ85&gt;Parameters!$B$45,-1,0)),0)</f>
        <v>0</v>
      </c>
      <c r="CA85" s="10" t="n">
        <f aca="false">IF(ISNUMBER(F85),IF(F85&gt;=Parameters!$B$47,1,IF(F85&lt;=Parameters!$B$48,-1,0)),0)</f>
        <v>0</v>
      </c>
      <c r="CB85" s="17" t="n">
        <f aca="false">IF(BF85="Established",BP85+BQ85+BR85+BS85+BT85+BU85,IF(BF85="Early",BV85+BW85+BX85+BY85+BZ85+CA85,0))</f>
        <v>1</v>
      </c>
      <c r="CC85" s="18" t="n">
        <f aca="false">IF(BF85="Established",BO85+CB85,IF(BF85="Early",BO85+Parameters!$B$50*CB85,BO85))</f>
        <v>-7</v>
      </c>
      <c r="CD85" s="17" t="n">
        <f aca="false">IF(BF85="Established",IF(CC85&gt;=Parameters!$B$51,6,IF(CC85&gt;=Parameters!$B$52,5,IF(CC85&gt;=Parameters!$B$53,4,IF(CC85&gt;=Parameters!$B$54,3,IF(CC85&gt;=Parameters!$B$55,2,1))))),IF(BF85="Early",IF(CC85&gt;=Parameters!$B$56,5,IF(CC85&gt;=Parameters!$B$57,4,IF(CC85&gt;=Parameters!$B$58,3,IF(CC85&gt;=Parameters!$B$59,2,1)))),IF(CC85&gt;=Parameters!$B$60,6,IF(CC85&gt;=Parameters!$B$61,5,IF(CC85&gt;=Parameters!$B$62,4,IF(CC85&gt;=Parameters!$B$63,3,IF(CC85&gt;=Parameters!$B$64,2,1)))))))</f>
        <v>1</v>
      </c>
      <c r="CE85" s="10" t="n">
        <f aca="false">IF(AND(ISNUMBER(AR85),AR85&lt;Parameters!$B$66),1,0)</f>
        <v>0</v>
      </c>
      <c r="CF85" s="10" t="n">
        <f aca="false">IF(AND(LEFT(AH85,5)="Death",ISNUMBER(AG85)),IF(BF85="Early",IF(AND(AG85&lt;Parameters!$B$70,ISNUMBER(U85),U85&lt;Parameters!$B$71),1,0),IF(AND(AG85&lt;Parameters!$B$67,OR(AND(ISNUMBER(U85),U85&lt;Parameters!$B$68),AND(ISNUMBER(V85),V85&lt;Parameters!$B$69))),1,0)),0)</f>
        <v>1</v>
      </c>
      <c r="CG85" s="10" t="n">
        <f aca="false">IF(AND(ISNUMBER(AG85),AG85&lt;0),1,0)</f>
        <v>1</v>
      </c>
      <c r="CH85" s="10" t="n">
        <f aca="false">IF(OR(AND(ISNUMBER(U85),U85&gt;Parameters!$B$74),AND(ISNUMBER(AF85),AF85&gt;Parameters!$B$75),AND(ISNUMBER(AE85),AE85&gt;Parameters!$B$76)),1,0)</f>
        <v>0</v>
      </c>
      <c r="CI85" s="10" t="n">
        <f aca="false">IF(AND(ISNUMBER(BC85),BC85&gt;=0,BC85&lt;=Parameters!$B$77),1,0)</f>
        <v>0</v>
      </c>
      <c r="CJ85" s="17" t="n">
        <f aca="false">IF(CF85=1,1,MIN(CD85,IF(CE85=1,3,6),IF(CG85=1,IF(BF85="Early",Parameters!$B$73,Parameters!$B$72),6),IF(CH85=1,3,6),IF(CI85=1,3,6)))</f>
        <v>1</v>
      </c>
      <c r="CK85" s="10" t="str">
        <f aca="false">INDEX(Parameters!$F$2:$F$7,CJ85)</f>
        <v>Sell Immediately</v>
      </c>
      <c r="CL85" s="10" t="str">
        <f aca="false">IF(CF85=1,"Hard sell: breakdown; ","")&amp;IF(CE85=1,"Insufficient history; ","")&amp;IF(AND(CF85=0,CG85=1),"Below 200D; ","")&amp;IF(CH85=1,"Extended - wait for pullback; ","")&amp;IF(CI85=1,"Earnings within "&amp;Parameters!$B$77&amp;"d; ","")</f>
        <v>Hard sell: breakdown; </v>
      </c>
    </row>
    <row r="86" customFormat="false" ht="15" hidden="false" customHeight="false" outlineLevel="0" collapsed="false">
      <c r="A86" s="10" t="s">
        <v>515</v>
      </c>
      <c r="B86" s="10" t="n">
        <v>3</v>
      </c>
      <c r="C86" s="10" t="n">
        <v>3</v>
      </c>
      <c r="D86" s="10"/>
      <c r="E86" s="10"/>
      <c r="F86" s="10"/>
      <c r="G86" s="10" t="s">
        <v>516</v>
      </c>
      <c r="H86" s="10" t="s">
        <v>517</v>
      </c>
      <c r="I86" s="10" t="n">
        <v>58.49</v>
      </c>
      <c r="J86" s="10" t="s">
        <v>295</v>
      </c>
      <c r="K86" s="10"/>
      <c r="L86" s="15"/>
      <c r="M86" s="16" t="n">
        <v>46189</v>
      </c>
      <c r="N86" s="10" t="n">
        <v>1.21</v>
      </c>
      <c r="O86" s="16" t="n">
        <v>46280</v>
      </c>
      <c r="P86" s="10" t="s">
        <v>297</v>
      </c>
      <c r="Q86" s="10" t="n">
        <v>-5.02</v>
      </c>
      <c r="R86" s="10" t="n">
        <v>0.79</v>
      </c>
      <c r="S86" s="10" t="n">
        <v>4.06</v>
      </c>
      <c r="T86" s="10" t="n">
        <v>3.72</v>
      </c>
      <c r="U86" s="10" t="n">
        <v>14.93</v>
      </c>
      <c r="V86" s="10" t="n">
        <v>1.95</v>
      </c>
      <c r="W86" s="10"/>
      <c r="X86" s="10"/>
      <c r="Y86" s="10"/>
      <c r="Z86" s="10"/>
      <c r="AA86" s="10"/>
      <c r="AB86" s="10"/>
      <c r="AC86" s="10" t="n">
        <v>-2.69</v>
      </c>
      <c r="AD86" s="10" t="n">
        <v>-28.09</v>
      </c>
      <c r="AE86" s="10" t="n">
        <v>53.12</v>
      </c>
      <c r="AF86" s="10" t="n">
        <v>3.96</v>
      </c>
      <c r="AG86" s="10"/>
      <c r="AH86" s="10"/>
      <c r="AI86" s="10" t="n">
        <v>0.52</v>
      </c>
      <c r="AJ86" s="10" t="n">
        <v>-27.51</v>
      </c>
      <c r="AK86" s="10"/>
      <c r="AL86" s="10"/>
      <c r="AM86" s="10"/>
      <c r="AN86" s="10"/>
      <c r="AO86" s="10"/>
      <c r="AP86" s="10"/>
      <c r="AQ86" s="10"/>
      <c r="AR86" s="10" t="n">
        <v>111</v>
      </c>
      <c r="AS86" s="16" t="n">
        <v>46275</v>
      </c>
      <c r="AT86" s="15" t="n">
        <v>0</v>
      </c>
      <c r="AU86" s="15" t="n">
        <v>0</v>
      </c>
      <c r="AV86" s="10"/>
      <c r="AW86" s="15" t="n">
        <v>0</v>
      </c>
      <c r="AX86" s="15" t="n">
        <v>0</v>
      </c>
      <c r="AY86" s="10"/>
      <c r="AZ86" s="15" t="n">
        <v>0</v>
      </c>
      <c r="BA86" s="10" t="n">
        <v>123.76</v>
      </c>
      <c r="BB86" s="10" t="n">
        <v>58.61</v>
      </c>
      <c r="BC86" s="17" t="n">
        <f aca="false">IF(AND(ISNUMBER(O86),ISNUMBER(AS86)),O86-AS86,"")</f>
        <v>5</v>
      </c>
      <c r="BD86" s="10" t="n">
        <f aca="false">IF(OR(ISNUMBER(SEARCH("ETF",H86)),AND(F86="",AO86="")),1,0)</f>
        <v>1</v>
      </c>
      <c r="BE86" s="17" t="n">
        <f aca="false">IF(ISNUMBER(L86),IF(L86&gt;=Parameters!$B$3,2,IF(L86&gt;=Parameters!$B$4,1,0)),0)+IF(ISNUMBER(AW86),IF(AW86&gt;0,IF(AND(ISNUMBER(AM86),AM86&gt;=Parameters!$B$5),2,1),0),0)+IF(ISNUMBER(AX86),IF(AND(AX86&gt;0,ISNUMBER(AY86),AY86&gt;=Parameters!$B$6),1,0),0)+IF(ISNUMBER(AO86),IF(AND(AO86&gt;0,AO86&lt;=Parameters!$B$7),1,0),0)+IF(ISNUMBER(F86),IF(F86&gt;=Parameters!$B$8,1,0),0)</f>
        <v>0</v>
      </c>
      <c r="BF86" s="10" t="str">
        <f aca="false">IF(BD86=1,"ETF",IF(OR(AND(ISNUMBER(L86),L86&gt;=Parameters!$B$10),BE86&gt;=Parameters!$B$9),"Established","Early"))</f>
        <v>ETF</v>
      </c>
      <c r="BG86" s="10" t="n">
        <f aca="false">IF(LEFT(AH86,6)="Golden",2,IF(LEFT(AH86,5)="Death",-2,0))</f>
        <v>0</v>
      </c>
      <c r="BH86" s="10" t="n">
        <f aca="false">IF(ISNUMBER(AG86),IF(AG86&gt;Parameters!$B$12,2,IF(AG86&gt;0,1,IF(AG86&gt;=Parameters!$B$13,-1,-2))),0)</f>
        <v>0</v>
      </c>
      <c r="BI86" s="10" t="n">
        <f aca="false">IF(ISNUMBER(AF86),IF(AND(AF86&gt;=Parameters!$B$14,AF86&lt;=Parameters!$B$15),1,IF(OR(AF86&gt;Parameters!$B$16,AF86&lt;Parameters!$B$17),-1,0)),0)</f>
        <v>1</v>
      </c>
      <c r="BJ86" s="10" t="n">
        <f aca="false">IF(ISNUMBER(AE86),IF(AND(AE86&gt;=Parameters!$B$18,AE86&lt;=Parameters!$B$19),1,IF(OR(AE86&gt;Parameters!$B$20,AE86&lt;Parameters!$B$21),-1,0)),0)</f>
        <v>1</v>
      </c>
      <c r="BK86" s="10" t="n">
        <f aca="false">IF(ISNUMBER(E86),IF(E86&gt;Parameters!$B$22,1,IF(E86&lt;Parameters!$B$23,-1,0)),0)</f>
        <v>0</v>
      </c>
      <c r="BL86" s="10" t="n">
        <f aca="false">IF(ISNUMBER(C86),IF(C86&gt;=Parameters!$B$24,1,IF(C86&lt;=Parameters!$B$25,-1,0)),0)</f>
        <v>-1</v>
      </c>
      <c r="BM86" s="10" t="n">
        <f aca="false">IF(ISNUMBER(AJ86),IF(AND(AJ86&gt;Parameters!$B$26,ISNUMBER(U86)),IF(U86&lt;0,-1,1),0),0)</f>
        <v>0</v>
      </c>
      <c r="BN86" s="10" t="n">
        <f aca="false">IF(ISNUMBER(AD86),IF(AD86&gt;Parameters!$B$27,1,IF(AD86&lt;Parameters!$B$28,-1,0)),0)</f>
        <v>0</v>
      </c>
      <c r="BO86" s="17" t="n">
        <f aca="false">BG86+BH86+BI86+BJ86+BK86+BL86+BM86+BN86</f>
        <v>1</v>
      </c>
      <c r="BP86" s="10" t="n">
        <f aca="false">IF(ISNUMBER(F86),IF(F86&gt;=Parameters!$B$30,2,IF(F86&gt;=Parameters!$B$31,1,IF(F86&lt;=Parameters!$B$32,-1,0))),0)</f>
        <v>0</v>
      </c>
      <c r="BQ86" s="10" t="n">
        <f aca="false">IF(ISNUMBER(AK86),IF(AK86&gt;Parameters!$B$33,1,IF(AK86&lt;0,-1,0)),0)</f>
        <v>0</v>
      </c>
      <c r="BR86" s="10" t="n">
        <f aca="false">IF(ISNUMBER(AL86),IF(AL86&gt;Parameters!$B$34,1,IF(AL86&lt;0,-1,0)),0)</f>
        <v>0</v>
      </c>
      <c r="BS86" s="10" t="n">
        <f aca="false">IF(ISNUMBER(AP86),IF(AND(AP86&gt;0,AP86&lt;=Parameters!$B$35),1,IF(AP86&gt;Parameters!$B$36,-1,0)),0)</f>
        <v>0</v>
      </c>
      <c r="BT86" s="10" t="n">
        <f aca="false">IF(ISNUMBER(AY86),IF(AY86&gt;Parameters!$B$37,1,IF(AY86&lt;0,-1,0)),0)</f>
        <v>0</v>
      </c>
      <c r="BU86" s="10" t="n">
        <f aca="false">IF(ISNUMBER(AZ86),IF(AZ86&gt;0,1,0),0)</f>
        <v>0</v>
      </c>
      <c r="BV86" s="10" t="n">
        <f aca="false">IF(ISNUMBER(AL86),IF(AL86&gt;Parameters!$B$39,2,IF(AL86&gt;Parameters!$B$40,1,IF(AL86&lt;0,-2,IF(AL86&lt;Parameters!$B$41,-1,0)))),0)</f>
        <v>0</v>
      </c>
      <c r="BW86" s="10" t="n">
        <f aca="false">IF(ISNUMBER(AV86),IF(AV86&gt;Parameters!$B$42,1,IF(AV86&lt;Parameters!$B$43,-1,0)),0)</f>
        <v>0</v>
      </c>
      <c r="BX86" s="10" t="n">
        <f aca="false">IF(AND(ISNUMBER(AX86),AX86&gt;0),1,IF(AND(ISNUMBER(AY86),AY86&lt;Parameters!$B$44),-1,0))</f>
        <v>0</v>
      </c>
      <c r="BY86" s="10" t="n">
        <f aca="false">IF(ISNUMBER(AW86),IF(AW86&gt;0,1,0),0)</f>
        <v>0</v>
      </c>
      <c r="BZ86" s="10" t="n">
        <f aca="false">IF(ISNUMBER(AQ86),IF(AQ86&gt;Parameters!$B$46,-2,IF(AQ86&gt;Parameters!$B$45,-1,0)),0)</f>
        <v>0</v>
      </c>
      <c r="CA86" s="10" t="n">
        <f aca="false">IF(ISNUMBER(F86),IF(F86&gt;=Parameters!$B$47,1,IF(F86&lt;=Parameters!$B$48,-1,0)),0)</f>
        <v>0</v>
      </c>
      <c r="CB86" s="17" t="n">
        <f aca="false">IF(BF86="Established",BP86+BQ86+BR86+BS86+BT86+BU86,IF(BF86="Early",BV86+BW86+BX86+BY86+BZ86+CA86,0))</f>
        <v>0</v>
      </c>
      <c r="CC86" s="18" t="n">
        <f aca="false">IF(BF86="Established",BO86+CB86,IF(BF86="Early",BO86+Parameters!$B$50*CB86,BO86))</f>
        <v>1</v>
      </c>
      <c r="CD86" s="17" t="n">
        <f aca="false">IF(BF86="Established",IF(CC86&gt;=Parameters!$B$51,6,IF(CC86&gt;=Parameters!$B$52,5,IF(CC86&gt;=Parameters!$B$53,4,IF(CC86&gt;=Parameters!$B$54,3,IF(CC86&gt;=Parameters!$B$55,2,1))))),IF(BF86="Early",IF(CC86&gt;=Parameters!$B$56,5,IF(CC86&gt;=Parameters!$B$57,4,IF(CC86&gt;=Parameters!$B$58,3,IF(CC86&gt;=Parameters!$B$59,2,1)))),IF(CC86&gt;=Parameters!$B$60,6,IF(CC86&gt;=Parameters!$B$61,5,IF(CC86&gt;=Parameters!$B$62,4,IF(CC86&gt;=Parameters!$B$63,3,IF(CC86&gt;=Parameters!$B$64,2,1)))))))</f>
        <v>3</v>
      </c>
      <c r="CE86" s="10" t="n">
        <f aca="false">IF(AND(ISNUMBER(AR86),AR86&lt;Parameters!$B$66),1,0)</f>
        <v>0</v>
      </c>
      <c r="CF86" s="10" t="n">
        <f aca="false">IF(AND(LEFT(AH86,5)="Death",ISNUMBER(AG86)),IF(BF86="Early",IF(AND(AG86&lt;Parameters!$B$70,ISNUMBER(U86),U86&lt;Parameters!$B$71),1,0),IF(AND(AG86&lt;Parameters!$B$67,OR(AND(ISNUMBER(U86),U86&lt;Parameters!$B$68),AND(ISNUMBER(V86),V86&lt;Parameters!$B$69))),1,0)),0)</f>
        <v>0</v>
      </c>
      <c r="CG86" s="10" t="n">
        <f aca="false">IF(AND(ISNUMBER(AG86),AG86&lt;0),1,0)</f>
        <v>0</v>
      </c>
      <c r="CH86" s="10" t="n">
        <f aca="false">IF(OR(AND(ISNUMBER(U86),U86&gt;Parameters!$B$74),AND(ISNUMBER(AF86),AF86&gt;Parameters!$B$75),AND(ISNUMBER(AE86),AE86&gt;Parameters!$B$76)),1,0)</f>
        <v>0</v>
      </c>
      <c r="CI86" s="10" t="n">
        <f aca="false">IF(AND(ISNUMBER(BC86),BC86&gt;=0,BC86&lt;=Parameters!$B$77),1,0)</f>
        <v>1</v>
      </c>
      <c r="CJ86" s="17" t="n">
        <f aca="false">IF(CF86=1,1,MIN(CD86,IF(CE86=1,3,6),IF(CG86=1,IF(BF86="Early",Parameters!$B$73,Parameters!$B$72),6),IF(CH86=1,3,6),IF(CI86=1,3,6)))</f>
        <v>3</v>
      </c>
      <c r="CK86" s="10" t="str">
        <f aca="false">INDEX(Parameters!$F$2:$F$7,CJ86)</f>
        <v>Hold</v>
      </c>
      <c r="CL86" s="10" t="str">
        <f aca="false">IF(CF86=1,"Hard sell: breakdown; ","")&amp;IF(CE86=1,"Insufficient history; ","")&amp;IF(AND(CF86=0,CG86=1),"Below 200D; ","")&amp;IF(CH86=1,"Extended - wait for pullback; ","")&amp;IF(CI86=1,"Earnings within "&amp;Parameters!$B$77&amp;"d; ","")</f>
        <v>Earnings within 7d; </v>
      </c>
    </row>
    <row r="87" customFormat="false" ht="15" hidden="false" customHeight="false" outlineLevel="0" collapsed="false">
      <c r="A87" s="10" t="s">
        <v>518</v>
      </c>
      <c r="B87" s="10" t="n">
        <v>3</v>
      </c>
      <c r="C87" s="10" t="n">
        <v>3</v>
      </c>
      <c r="D87" s="10" t="n">
        <v>20.8</v>
      </c>
      <c r="E87" s="10" t="n">
        <v>2.9</v>
      </c>
      <c r="F87" s="10" t="n">
        <v>3</v>
      </c>
      <c r="G87" s="10" t="s">
        <v>519</v>
      </c>
      <c r="H87" s="10" t="s">
        <v>349</v>
      </c>
      <c r="I87" s="10" t="n">
        <v>62.53</v>
      </c>
      <c r="J87" s="10" t="s">
        <v>295</v>
      </c>
      <c r="K87" s="10" t="s">
        <v>366</v>
      </c>
      <c r="L87" s="15" t="n">
        <v>2699281410</v>
      </c>
      <c r="M87" s="16" t="n">
        <v>46239</v>
      </c>
      <c r="N87" s="10" t="n">
        <v>43.33</v>
      </c>
      <c r="O87" s="16" t="n">
        <v>46330</v>
      </c>
      <c r="P87" s="10" t="s">
        <v>297</v>
      </c>
      <c r="Q87" s="10" t="n">
        <v>-0.76</v>
      </c>
      <c r="R87" s="10" t="n">
        <v>-6.51</v>
      </c>
      <c r="S87" s="10" t="n">
        <v>-7.91</v>
      </c>
      <c r="T87" s="10" t="n">
        <v>-14.27</v>
      </c>
      <c r="U87" s="10" t="n">
        <v>-12.87</v>
      </c>
      <c r="V87" s="10" t="n">
        <v>14.78</v>
      </c>
      <c r="W87" s="10" t="n">
        <v>-32.46</v>
      </c>
      <c r="X87" s="10" t="n">
        <v>-36.41</v>
      </c>
      <c r="Y87" s="10"/>
      <c r="Z87" s="10"/>
      <c r="AA87" s="10"/>
      <c r="AB87" s="10"/>
      <c r="AC87" s="10" t="n">
        <v>10.13</v>
      </c>
      <c r="AD87" s="10" t="n">
        <v>-41.81</v>
      </c>
      <c r="AE87" s="10" t="n">
        <v>34.88</v>
      </c>
      <c r="AF87" s="10" t="n">
        <v>-4.25</v>
      </c>
      <c r="AG87" s="10" t="n">
        <v>-20.82</v>
      </c>
      <c r="AH87" s="10" t="s">
        <v>377</v>
      </c>
      <c r="AI87" s="10" t="n">
        <v>-1.42</v>
      </c>
      <c r="AJ87" s="10" t="n">
        <v>6.3</v>
      </c>
      <c r="AK87" s="10" t="n">
        <v>-8.6</v>
      </c>
      <c r="AL87" s="10" t="n">
        <v>17.2</v>
      </c>
      <c r="AM87" s="10" t="n">
        <v>2.56</v>
      </c>
      <c r="AN87" s="10" t="n">
        <v>7.94</v>
      </c>
      <c r="AO87" s="10" t="n">
        <v>49.16</v>
      </c>
      <c r="AP87" s="10" t="n">
        <v>-7.79</v>
      </c>
      <c r="AQ87" s="10" t="n">
        <v>10.13</v>
      </c>
      <c r="AR87" s="10" t="n">
        <v>300</v>
      </c>
      <c r="AS87" s="16" t="n">
        <v>46275</v>
      </c>
      <c r="AT87" s="15" t="n">
        <v>1552296960</v>
      </c>
      <c r="AU87" s="15" t="n">
        <v>626819008</v>
      </c>
      <c r="AV87" s="10" t="n">
        <v>40.38</v>
      </c>
      <c r="AW87" s="15" t="n">
        <v>39722000</v>
      </c>
      <c r="AX87" s="15" t="n">
        <v>-41693376</v>
      </c>
      <c r="AY87" s="10" t="n">
        <v>-2.69</v>
      </c>
      <c r="AZ87" s="15" t="n">
        <v>-644124032</v>
      </c>
      <c r="BA87" s="10" t="n">
        <v>21.18</v>
      </c>
      <c r="BB87" s="10" t="n">
        <v>19.57</v>
      </c>
      <c r="BC87" s="17" t="n">
        <f aca="false">IF(AND(ISNUMBER(O87),ISNUMBER(AS87)),O87-AS87,"")</f>
        <v>55</v>
      </c>
      <c r="BD87" s="10" t="n">
        <f aca="false">IF(OR(ISNUMBER(SEARCH("ETF",H87)),AND(F87="",AO87="")),1,0)</f>
        <v>0</v>
      </c>
      <c r="BE87" s="17" t="n">
        <f aca="false">IF(ISNUMBER(L87),IF(L87&gt;=Parameters!$B$3,2,IF(L87&gt;=Parameters!$B$4,1,0)),0)+IF(ISNUMBER(AW87),IF(AW87&gt;0,IF(AND(ISNUMBER(AM87),AM87&gt;=Parameters!$B$5),2,1),0),0)+IF(ISNUMBER(AX87),IF(AND(AX87&gt;0,ISNUMBER(AY87),AY87&gt;=Parameters!$B$6),1,0),0)+IF(ISNUMBER(AO87),IF(AND(AO87&gt;0,AO87&lt;=Parameters!$B$7),1,0),0)+IF(ISNUMBER(F87),IF(F87&gt;=Parameters!$B$8,1,0),0)</f>
        <v>1</v>
      </c>
      <c r="BF87" s="10" t="str">
        <f aca="false">IF(BD87=1,"ETF",IF(OR(AND(ISNUMBER(L87),L87&gt;=Parameters!$B$10),BE87&gt;=Parameters!$B$9),"Established","Early"))</f>
        <v>Early</v>
      </c>
      <c r="BG87" s="10" t="n">
        <f aca="false">IF(LEFT(AH87,6)="Golden",2,IF(LEFT(AH87,5)="Death",-2,0))</f>
        <v>-2</v>
      </c>
      <c r="BH87" s="10" t="n">
        <f aca="false">IF(ISNUMBER(AG87),IF(AG87&gt;Parameters!$B$12,2,IF(AG87&gt;0,1,IF(AG87&gt;=Parameters!$B$13,-1,-2))),0)</f>
        <v>-2</v>
      </c>
      <c r="BI87" s="10" t="n">
        <f aca="false">IF(ISNUMBER(AF87),IF(AND(AF87&gt;=Parameters!$B$14,AF87&lt;=Parameters!$B$15),1,IF(OR(AF87&gt;Parameters!$B$16,AF87&lt;Parameters!$B$17),-1,0)),0)</f>
        <v>0</v>
      </c>
      <c r="BJ87" s="10" t="n">
        <f aca="false">IF(ISNUMBER(AE87),IF(AND(AE87&gt;=Parameters!$B$18,AE87&lt;=Parameters!$B$19),1,IF(OR(AE87&gt;Parameters!$B$20,AE87&lt;Parameters!$B$21),-1,0)),0)</f>
        <v>-1</v>
      </c>
      <c r="BK87" s="10" t="n">
        <f aca="false">IF(ISNUMBER(E87),IF(E87&gt;Parameters!$B$22,1,IF(E87&lt;Parameters!$B$23,-1,0)),0)</f>
        <v>0</v>
      </c>
      <c r="BL87" s="10" t="n">
        <f aca="false">IF(ISNUMBER(C87),IF(C87&gt;=Parameters!$B$24,1,IF(C87&lt;=Parameters!$B$25,-1,0)),0)</f>
        <v>-1</v>
      </c>
      <c r="BM87" s="10" t="n">
        <f aca="false">IF(ISNUMBER(AJ87),IF(AND(AJ87&gt;Parameters!$B$26,ISNUMBER(U87)),IF(U87&lt;0,-1,1),0),0)</f>
        <v>0</v>
      </c>
      <c r="BN87" s="10" t="n">
        <f aca="false">IF(ISNUMBER(AD87),IF(AD87&gt;Parameters!$B$27,1,IF(AD87&lt;Parameters!$B$28,-1,0)),0)</f>
        <v>-1</v>
      </c>
      <c r="BO87" s="17" t="n">
        <f aca="false">BG87+BH87+BI87+BJ87+BK87+BL87+BM87+BN87</f>
        <v>-7</v>
      </c>
      <c r="BP87" s="10" t="n">
        <f aca="false">IF(ISNUMBER(F87),IF(F87&gt;=Parameters!$B$30,2,IF(F87&gt;=Parameters!$B$31,1,IF(F87&lt;=Parameters!$B$32,-1,0))),0)</f>
        <v>-1</v>
      </c>
      <c r="BQ87" s="10" t="n">
        <f aca="false">IF(ISNUMBER(AK87),IF(AK87&gt;Parameters!$B$33,1,IF(AK87&lt;0,-1,0)),0)</f>
        <v>-1</v>
      </c>
      <c r="BR87" s="10" t="n">
        <f aca="false">IF(ISNUMBER(AL87),IF(AL87&gt;Parameters!$B$34,1,IF(AL87&lt;0,-1,0)),0)</f>
        <v>1</v>
      </c>
      <c r="BS87" s="10" t="n">
        <f aca="false">IF(ISNUMBER(AP87),IF(AND(AP87&gt;0,AP87&lt;=Parameters!$B$35),1,IF(AP87&gt;Parameters!$B$36,-1,0)),0)</f>
        <v>0</v>
      </c>
      <c r="BT87" s="10" t="n">
        <f aca="false">IF(ISNUMBER(AY87),IF(AY87&gt;Parameters!$B$37,1,IF(AY87&lt;0,-1,0)),0)</f>
        <v>-1</v>
      </c>
      <c r="BU87" s="10" t="n">
        <f aca="false">IF(ISNUMBER(AZ87),IF(AZ87&gt;0,1,0),0)</f>
        <v>0</v>
      </c>
      <c r="BV87" s="10" t="n">
        <f aca="false">IF(ISNUMBER(AL87),IF(AL87&gt;Parameters!$B$39,2,IF(AL87&gt;Parameters!$B$40,1,IF(AL87&lt;0,-2,IF(AL87&lt;Parameters!$B$41,-1,0)))),0)</f>
        <v>1</v>
      </c>
      <c r="BW87" s="10" t="n">
        <f aca="false">IF(ISNUMBER(AV87),IF(AV87&gt;Parameters!$B$42,1,IF(AV87&lt;Parameters!$B$43,-1,0)),0)</f>
        <v>0</v>
      </c>
      <c r="BX87" s="10" t="n">
        <f aca="false">IF(AND(ISNUMBER(AX87),AX87&gt;0),1,IF(AND(ISNUMBER(AY87),AY87&lt;Parameters!$B$44),-1,0))</f>
        <v>0</v>
      </c>
      <c r="BY87" s="10" t="n">
        <f aca="false">IF(ISNUMBER(AW87),IF(AW87&gt;0,1,0),0)</f>
        <v>1</v>
      </c>
      <c r="BZ87" s="10" t="n">
        <f aca="false">IF(ISNUMBER(AQ87),IF(AQ87&gt;Parameters!$B$46,-2,IF(AQ87&gt;Parameters!$B$45,-1,0)),0)</f>
        <v>0</v>
      </c>
      <c r="CA87" s="10" t="n">
        <f aca="false">IF(ISNUMBER(F87),IF(F87&gt;=Parameters!$B$47,1,IF(F87&lt;=Parameters!$B$48,-1,0)),0)</f>
        <v>-1</v>
      </c>
      <c r="CB87" s="17" t="n">
        <f aca="false">IF(BF87="Established",BP87+BQ87+BR87+BS87+BT87+BU87,IF(BF87="Early",BV87+BW87+BX87+BY87+BZ87+CA87,0))</f>
        <v>1</v>
      </c>
      <c r="CC87" s="18" t="n">
        <f aca="false">IF(BF87="Established",BO87+CB87,IF(BF87="Early",BO87+Parameters!$B$50*CB87,BO87))</f>
        <v>-6.5</v>
      </c>
      <c r="CD87" s="17" t="n">
        <f aca="false">IF(BF87="Established",IF(CC87&gt;=Parameters!$B$51,6,IF(CC87&gt;=Parameters!$B$52,5,IF(CC87&gt;=Parameters!$B$53,4,IF(CC87&gt;=Parameters!$B$54,3,IF(CC87&gt;=Parameters!$B$55,2,1))))),IF(BF87="Early",IF(CC87&gt;=Parameters!$B$56,5,IF(CC87&gt;=Parameters!$B$57,4,IF(CC87&gt;=Parameters!$B$58,3,IF(CC87&gt;=Parameters!$B$59,2,1)))),IF(CC87&gt;=Parameters!$B$60,6,IF(CC87&gt;=Parameters!$B$61,5,IF(CC87&gt;=Parameters!$B$62,4,IF(CC87&gt;=Parameters!$B$63,3,IF(CC87&gt;=Parameters!$B$64,2,1)))))))</f>
        <v>1</v>
      </c>
      <c r="CE87" s="10" t="n">
        <f aca="false">IF(AND(ISNUMBER(AR87),AR87&lt;Parameters!$B$66),1,0)</f>
        <v>0</v>
      </c>
      <c r="CF87" s="10" t="n">
        <f aca="false">IF(AND(LEFT(AH87,5)="Death",ISNUMBER(AG87)),IF(BF87="Early",IF(AND(AG87&lt;Parameters!$B$70,ISNUMBER(U87),U87&lt;Parameters!$B$71),1,0),IF(AND(AG87&lt;Parameters!$B$67,OR(AND(ISNUMBER(U87),U87&lt;Parameters!$B$68),AND(ISNUMBER(V87),V87&lt;Parameters!$B$69))),1,0)),0)</f>
        <v>1</v>
      </c>
      <c r="CG87" s="10" t="n">
        <f aca="false">IF(AND(ISNUMBER(AG87),AG87&lt;0),1,0)</f>
        <v>1</v>
      </c>
      <c r="CH87" s="10" t="n">
        <f aca="false">IF(OR(AND(ISNUMBER(U87),U87&gt;Parameters!$B$74),AND(ISNUMBER(AF87),AF87&gt;Parameters!$B$75),AND(ISNUMBER(AE87),AE87&gt;Parameters!$B$76)),1,0)</f>
        <v>0</v>
      </c>
      <c r="CI87" s="10" t="n">
        <f aca="false">IF(AND(ISNUMBER(BC87),BC87&gt;=0,BC87&lt;=Parameters!$B$77),1,0)</f>
        <v>0</v>
      </c>
      <c r="CJ87" s="17" t="n">
        <f aca="false">IF(CF87=1,1,MIN(CD87,IF(CE87=1,3,6),IF(CG87=1,IF(BF87="Early",Parameters!$B$73,Parameters!$B$72),6),IF(CH87=1,3,6),IF(CI87=1,3,6)))</f>
        <v>1</v>
      </c>
      <c r="CK87" s="10" t="str">
        <f aca="false">INDEX(Parameters!$F$2:$F$7,CJ87)</f>
        <v>Sell Immediately</v>
      </c>
      <c r="CL87" s="10" t="str">
        <f aca="false">IF(CF87=1,"Hard sell: breakdown; ","")&amp;IF(CE87=1,"Insufficient history; ","")&amp;IF(AND(CF87=0,CG87=1),"Below 200D; ","")&amp;IF(CH87=1,"Extended - wait for pullback; ","")&amp;IF(CI87=1,"Earnings within "&amp;Parameters!$B$77&amp;"d; ","")</f>
        <v>Hard sell: breakdown; </v>
      </c>
    </row>
    <row r="88" customFormat="false" ht="15" hidden="false" customHeight="false" outlineLevel="0" collapsed="false">
      <c r="A88" s="10" t="s">
        <v>520</v>
      </c>
      <c r="B88" s="10" t="n">
        <v>3</v>
      </c>
      <c r="C88" s="10" t="n">
        <v>3</v>
      </c>
      <c r="D88" s="10" t="n">
        <v>16.8</v>
      </c>
      <c r="E88" s="10" t="n">
        <v>3.9</v>
      </c>
      <c r="F88" s="10" t="n">
        <v>3</v>
      </c>
      <c r="G88" s="10" t="s">
        <v>521</v>
      </c>
      <c r="H88" s="10" t="s">
        <v>328</v>
      </c>
      <c r="I88" s="10" t="n">
        <v>366.14</v>
      </c>
      <c r="J88" s="10" t="s">
        <v>295</v>
      </c>
      <c r="K88" s="10" t="s">
        <v>366</v>
      </c>
      <c r="L88" s="15" t="n">
        <v>1452683026987</v>
      </c>
      <c r="M88" s="16" t="n">
        <v>46225</v>
      </c>
      <c r="N88" s="10" t="n">
        <v>-38.89</v>
      </c>
      <c r="O88" s="16" t="n">
        <v>46316</v>
      </c>
      <c r="P88" s="10" t="s">
        <v>297</v>
      </c>
      <c r="Q88" s="10" t="n">
        <v>-0.45</v>
      </c>
      <c r="R88" s="10" t="n">
        <v>-0.1</v>
      </c>
      <c r="S88" s="10" t="n">
        <v>2.56</v>
      </c>
      <c r="T88" s="10" t="n">
        <v>5.88</v>
      </c>
      <c r="U88" s="10" t="n">
        <v>10.01</v>
      </c>
      <c r="V88" s="10" t="n">
        <v>-4.05</v>
      </c>
      <c r="W88" s="10" t="n">
        <v>-10.22</v>
      </c>
      <c r="X88" s="10" t="n">
        <v>5.52</v>
      </c>
      <c r="Y88" s="10"/>
      <c r="Z88" s="10"/>
      <c r="AA88" s="10"/>
      <c r="AB88" s="10"/>
      <c r="AC88" s="10" t="n">
        <v>-8.69</v>
      </c>
      <c r="AD88" s="10" t="n">
        <v>-26.6</v>
      </c>
      <c r="AE88" s="10" t="n">
        <v>54.83</v>
      </c>
      <c r="AF88" s="10" t="n">
        <v>2.92</v>
      </c>
      <c r="AG88" s="10" t="n">
        <v>-8.25</v>
      </c>
      <c r="AH88" s="10" t="s">
        <v>377</v>
      </c>
      <c r="AI88" s="10" t="n">
        <v>2.39</v>
      </c>
      <c r="AJ88" s="10" t="n">
        <v>10.99</v>
      </c>
      <c r="AK88" s="10" t="n">
        <v>-4.9</v>
      </c>
      <c r="AL88" s="10" t="n">
        <v>25.5</v>
      </c>
      <c r="AM88" s="10" t="n">
        <v>3.67</v>
      </c>
      <c r="AN88" s="10" t="n">
        <v>4.67</v>
      </c>
      <c r="AO88" s="10" t="n">
        <v>170.56</v>
      </c>
      <c r="AP88" s="10" t="n">
        <v>-60.24</v>
      </c>
      <c r="AQ88" s="10" t="n">
        <v>2.45</v>
      </c>
      <c r="AR88" s="10" t="n">
        <v>300</v>
      </c>
      <c r="AS88" s="16" t="n">
        <v>46275</v>
      </c>
      <c r="AT88" s="15" t="n">
        <v>103619002368</v>
      </c>
      <c r="AU88" s="15" t="n">
        <v>19534000128</v>
      </c>
      <c r="AV88" s="10" t="n">
        <v>18.85</v>
      </c>
      <c r="AW88" s="15" t="n">
        <v>3806000128</v>
      </c>
      <c r="AX88" s="15" t="n">
        <v>4835999744</v>
      </c>
      <c r="AY88" s="10" t="n">
        <v>4.67</v>
      </c>
      <c r="AZ88" s="15" t="n">
        <v>27444001792</v>
      </c>
      <c r="BA88" s="10" t="n">
        <v>23.12</v>
      </c>
      <c r="BB88" s="10" t="n">
        <v>34.13</v>
      </c>
      <c r="BC88" s="17" t="n">
        <f aca="false">IF(AND(ISNUMBER(O88),ISNUMBER(AS88)),O88-AS88,"")</f>
        <v>41</v>
      </c>
      <c r="BD88" s="10" t="n">
        <f aca="false">IF(OR(ISNUMBER(SEARCH("ETF",H88)),AND(F88="",AO88="")),1,0)</f>
        <v>0</v>
      </c>
      <c r="BE88" s="17" t="n">
        <f aca="false">IF(ISNUMBER(L88),IF(L88&gt;=Parameters!$B$3,2,IF(L88&gt;=Parameters!$B$4,1,0)),0)+IF(ISNUMBER(AW88),IF(AW88&gt;0,IF(AND(ISNUMBER(AM88),AM88&gt;=Parameters!$B$5),2,1),0),0)+IF(ISNUMBER(AX88),IF(AND(AX88&gt;0,ISNUMBER(AY88),AY88&gt;=Parameters!$B$6),1,0),0)+IF(ISNUMBER(AO88),IF(AND(AO88&gt;0,AO88&lt;=Parameters!$B$7),1,0),0)+IF(ISNUMBER(F88),IF(F88&gt;=Parameters!$B$8,1,0),0)</f>
        <v>3</v>
      </c>
      <c r="BF88" s="10" t="str">
        <f aca="false">IF(BD88=1,"ETF",IF(OR(AND(ISNUMBER(L88),L88&gt;=Parameters!$B$10),BE88&gt;=Parameters!$B$9),"Established","Early"))</f>
        <v>Established</v>
      </c>
      <c r="BG88" s="10" t="n">
        <f aca="false">IF(LEFT(AH88,6)="Golden",2,IF(LEFT(AH88,5)="Death",-2,0))</f>
        <v>-2</v>
      </c>
      <c r="BH88" s="10" t="n">
        <f aca="false">IF(ISNUMBER(AG88),IF(AG88&gt;Parameters!$B$12,2,IF(AG88&gt;0,1,IF(AG88&gt;=Parameters!$B$13,-1,-2))),0)</f>
        <v>-1</v>
      </c>
      <c r="BI88" s="10" t="n">
        <f aca="false">IF(ISNUMBER(AF88),IF(AND(AF88&gt;=Parameters!$B$14,AF88&lt;=Parameters!$B$15),1,IF(OR(AF88&gt;Parameters!$B$16,AF88&lt;Parameters!$B$17),-1,0)),0)</f>
        <v>1</v>
      </c>
      <c r="BJ88" s="10" t="n">
        <f aca="false">IF(ISNUMBER(AE88),IF(AND(AE88&gt;=Parameters!$B$18,AE88&lt;=Parameters!$B$19),1,IF(OR(AE88&gt;Parameters!$B$20,AE88&lt;Parameters!$B$21),-1,0)),0)</f>
        <v>1</v>
      </c>
      <c r="BK88" s="10" t="n">
        <f aca="false">IF(ISNUMBER(E88),IF(E88&gt;Parameters!$B$22,1,IF(E88&lt;Parameters!$B$23,-1,0)),0)</f>
        <v>1</v>
      </c>
      <c r="BL88" s="10" t="n">
        <f aca="false">IF(ISNUMBER(C88),IF(C88&gt;=Parameters!$B$24,1,IF(C88&lt;=Parameters!$B$25,-1,0)),0)</f>
        <v>-1</v>
      </c>
      <c r="BM88" s="10" t="n">
        <f aca="false">IF(ISNUMBER(AJ88),IF(AND(AJ88&gt;Parameters!$B$26,ISNUMBER(U88)),IF(U88&lt;0,-1,1),0),0)</f>
        <v>1</v>
      </c>
      <c r="BN88" s="10" t="n">
        <f aca="false">IF(ISNUMBER(AD88),IF(AD88&gt;Parameters!$B$27,1,IF(AD88&lt;Parameters!$B$28,-1,0)),0)</f>
        <v>0</v>
      </c>
      <c r="BO88" s="17" t="n">
        <f aca="false">BG88+BH88+BI88+BJ88+BK88+BL88+BM88+BN88</f>
        <v>0</v>
      </c>
      <c r="BP88" s="10" t="n">
        <f aca="false">IF(ISNUMBER(F88),IF(F88&gt;=Parameters!$B$30,2,IF(F88&gt;=Parameters!$B$31,1,IF(F88&lt;=Parameters!$B$32,-1,0))),0)</f>
        <v>-1</v>
      </c>
      <c r="BQ88" s="10" t="n">
        <f aca="false">IF(ISNUMBER(AK88),IF(AK88&gt;Parameters!$B$33,1,IF(AK88&lt;0,-1,0)),0)</f>
        <v>-1</v>
      </c>
      <c r="BR88" s="10" t="n">
        <f aca="false">IF(ISNUMBER(AL88),IF(AL88&gt;Parameters!$B$34,1,IF(AL88&lt;0,-1,0)),0)</f>
        <v>1</v>
      </c>
      <c r="BS88" s="10" t="n">
        <f aca="false">IF(ISNUMBER(AP88),IF(AND(AP88&gt;0,AP88&lt;=Parameters!$B$35),1,IF(AP88&gt;Parameters!$B$36,-1,0)),0)</f>
        <v>0</v>
      </c>
      <c r="BT88" s="10" t="n">
        <f aca="false">IF(ISNUMBER(AY88),IF(AY88&gt;Parameters!$B$37,1,IF(AY88&lt;0,-1,0)),0)</f>
        <v>0</v>
      </c>
      <c r="BU88" s="10" t="n">
        <f aca="false">IF(ISNUMBER(AZ88),IF(AZ88&gt;0,1,0),0)</f>
        <v>1</v>
      </c>
      <c r="BV88" s="10" t="n">
        <f aca="false">IF(ISNUMBER(AL88),IF(AL88&gt;Parameters!$B$39,2,IF(AL88&gt;Parameters!$B$40,1,IF(AL88&lt;0,-2,IF(AL88&lt;Parameters!$B$41,-1,0)))),0)</f>
        <v>1</v>
      </c>
      <c r="BW88" s="10" t="n">
        <f aca="false">IF(ISNUMBER(AV88),IF(AV88&gt;Parameters!$B$42,1,IF(AV88&lt;Parameters!$B$43,-1,0)),0)</f>
        <v>-1</v>
      </c>
      <c r="BX88" s="10" t="n">
        <f aca="false">IF(AND(ISNUMBER(AX88),AX88&gt;0),1,IF(AND(ISNUMBER(AY88),AY88&lt;Parameters!$B$44),-1,0))</f>
        <v>1</v>
      </c>
      <c r="BY88" s="10" t="n">
        <f aca="false">IF(ISNUMBER(AW88),IF(AW88&gt;0,1,0),0)</f>
        <v>1</v>
      </c>
      <c r="BZ88" s="10" t="n">
        <f aca="false">IF(ISNUMBER(AQ88),IF(AQ88&gt;Parameters!$B$46,-2,IF(AQ88&gt;Parameters!$B$45,-1,0)),0)</f>
        <v>0</v>
      </c>
      <c r="CA88" s="10" t="n">
        <f aca="false">IF(ISNUMBER(F88),IF(F88&gt;=Parameters!$B$47,1,IF(F88&lt;=Parameters!$B$48,-1,0)),0)</f>
        <v>-1</v>
      </c>
      <c r="CB88" s="17" t="n">
        <f aca="false">IF(BF88="Established",BP88+BQ88+BR88+BS88+BT88+BU88,IF(BF88="Early",BV88+BW88+BX88+BY88+BZ88+CA88,0))</f>
        <v>0</v>
      </c>
      <c r="CC88" s="18" t="n">
        <f aca="false">IF(BF88="Established",BO88+CB88,IF(BF88="Early",BO88+Parameters!$B$50*CB88,BO88))</f>
        <v>0</v>
      </c>
      <c r="CD88" s="17" t="n">
        <f aca="false">IF(BF88="Established",IF(CC88&gt;=Parameters!$B$51,6,IF(CC88&gt;=Parameters!$B$52,5,IF(CC88&gt;=Parameters!$B$53,4,IF(CC88&gt;=Parameters!$B$54,3,IF(CC88&gt;=Parameters!$B$55,2,1))))),IF(BF88="Early",IF(CC88&gt;=Parameters!$B$56,5,IF(CC88&gt;=Parameters!$B$57,4,IF(CC88&gt;=Parameters!$B$58,3,IF(CC88&gt;=Parameters!$B$59,2,1)))),IF(CC88&gt;=Parameters!$B$60,6,IF(CC88&gt;=Parameters!$B$61,5,IF(CC88&gt;=Parameters!$B$62,4,IF(CC88&gt;=Parameters!$B$63,3,IF(CC88&gt;=Parameters!$B$64,2,1)))))))</f>
        <v>3</v>
      </c>
      <c r="CE88" s="10" t="n">
        <f aca="false">IF(AND(ISNUMBER(AR88),AR88&lt;Parameters!$B$66),1,0)</f>
        <v>0</v>
      </c>
      <c r="CF88" s="10" t="n">
        <f aca="false">IF(AND(LEFT(AH88,5)="Death",ISNUMBER(AG88)),IF(BF88="Early",IF(AND(AG88&lt;Parameters!$B$70,ISNUMBER(U88),U88&lt;Parameters!$B$71),1,0),IF(AND(AG88&lt;Parameters!$B$67,OR(AND(ISNUMBER(U88),U88&lt;Parameters!$B$68),AND(ISNUMBER(V88),V88&lt;Parameters!$B$69))),1,0)),0)</f>
        <v>0</v>
      </c>
      <c r="CG88" s="10" t="n">
        <f aca="false">IF(AND(ISNUMBER(AG88),AG88&lt;0),1,0)</f>
        <v>1</v>
      </c>
      <c r="CH88" s="10" t="n">
        <f aca="false">IF(OR(AND(ISNUMBER(U88),U88&gt;Parameters!$B$74),AND(ISNUMBER(AF88),AF88&gt;Parameters!$B$75),AND(ISNUMBER(AE88),AE88&gt;Parameters!$B$76)),1,0)</f>
        <v>0</v>
      </c>
      <c r="CI88" s="10" t="n">
        <f aca="false">IF(AND(ISNUMBER(BC88),BC88&gt;=0,BC88&lt;=Parameters!$B$77),1,0)</f>
        <v>0</v>
      </c>
      <c r="CJ88" s="17" t="n">
        <f aca="false">IF(CF88=1,1,MIN(CD88,IF(CE88=1,3,6),IF(CG88=1,IF(BF88="Early",Parameters!$B$73,Parameters!$B$72),6),IF(CH88=1,3,6),IF(CI88=1,3,6)))</f>
        <v>3</v>
      </c>
      <c r="CK88" s="10" t="str">
        <f aca="false">INDEX(Parameters!$F$2:$F$7,CJ88)</f>
        <v>Hold</v>
      </c>
      <c r="CL88" s="10" t="str">
        <f aca="false">IF(CF88=1,"Hard sell: breakdown; ","")&amp;IF(CE88=1,"Insufficient history; ","")&amp;IF(AND(CF88=0,CG88=1),"Below 200D; ","")&amp;IF(CH88=1,"Extended - wait for pullback; ","")&amp;IF(CI88=1,"Earnings within "&amp;Parameters!$B$77&amp;"d; ","")</f>
        <v>Below 200D; </v>
      </c>
    </row>
    <row r="89" customFormat="false" ht="15" hidden="false" customHeight="false" outlineLevel="0" collapsed="false">
      <c r="A89" s="10" t="s">
        <v>522</v>
      </c>
      <c r="B89" s="10" t="n">
        <v>3</v>
      </c>
      <c r="C89" s="10" t="n">
        <v>3</v>
      </c>
      <c r="D89" s="10" t="n">
        <v>24.9</v>
      </c>
      <c r="E89" s="10" t="n">
        <v>-1.5</v>
      </c>
      <c r="F89" s="10" t="n">
        <v>3</v>
      </c>
      <c r="G89" s="10" t="s">
        <v>523</v>
      </c>
      <c r="H89" s="10" t="s">
        <v>386</v>
      </c>
      <c r="I89" s="10" t="n">
        <v>6.69</v>
      </c>
      <c r="J89" s="10" t="s">
        <v>295</v>
      </c>
      <c r="K89" s="10" t="s">
        <v>399</v>
      </c>
      <c r="L89" s="15" t="n">
        <v>7024143201</v>
      </c>
      <c r="M89" s="16" t="n">
        <v>46238</v>
      </c>
      <c r="N89" s="10" t="n">
        <v>-50</v>
      </c>
      <c r="O89" s="16" t="n">
        <v>46329</v>
      </c>
      <c r="P89" s="10" t="s">
        <v>297</v>
      </c>
      <c r="Q89" s="10" t="n">
        <v>-1.76</v>
      </c>
      <c r="R89" s="10" t="n">
        <v>2.56</v>
      </c>
      <c r="S89" s="10" t="n">
        <v>-1.76</v>
      </c>
      <c r="T89" s="10" t="n">
        <v>9.85</v>
      </c>
      <c r="U89" s="10" t="n">
        <v>4.86</v>
      </c>
      <c r="V89" s="10" t="n">
        <v>-19.01</v>
      </c>
      <c r="W89" s="10" t="n">
        <v>0.6</v>
      </c>
      <c r="X89" s="10" t="n">
        <v>18.83</v>
      </c>
      <c r="Y89" s="10"/>
      <c r="Z89" s="10"/>
      <c r="AA89" s="10"/>
      <c r="AB89" s="10"/>
      <c r="AC89" s="10" t="n">
        <v>-23.65</v>
      </c>
      <c r="AD89" s="10" t="n">
        <v>-44.02</v>
      </c>
      <c r="AE89" s="10" t="n">
        <v>54.49</v>
      </c>
      <c r="AF89" s="10" t="n">
        <v>4.37</v>
      </c>
      <c r="AG89" s="10" t="n">
        <v>-13.45</v>
      </c>
      <c r="AH89" s="10" t="s">
        <v>524</v>
      </c>
      <c r="AI89" s="10" t="n">
        <v>0.1</v>
      </c>
      <c r="AJ89" s="10" t="n">
        <v>-16.41</v>
      </c>
      <c r="AK89" s="10" t="n">
        <v>-9.28</v>
      </c>
      <c r="AL89" s="10" t="n">
        <v>-9.3</v>
      </c>
      <c r="AM89" s="10" t="n">
        <v>-8.65</v>
      </c>
      <c r="AN89" s="10" t="n">
        <v>155.68</v>
      </c>
      <c r="AO89" s="10" t="n">
        <v>-22.03</v>
      </c>
      <c r="AP89" s="10" t="n">
        <v>0.05</v>
      </c>
      <c r="AQ89" s="10" t="n">
        <v>6.66</v>
      </c>
      <c r="AR89" s="10" t="n">
        <v>300</v>
      </c>
      <c r="AS89" s="16" t="n">
        <v>46275</v>
      </c>
      <c r="AT89" s="15" t="n">
        <v>11832000512</v>
      </c>
      <c r="AU89" s="15" t="n">
        <v>5655000064</v>
      </c>
      <c r="AV89" s="10" t="n">
        <v>47.79</v>
      </c>
      <c r="AW89" s="15" t="n">
        <v>-1024000000</v>
      </c>
      <c r="AX89" s="15" t="n">
        <v>2116249984</v>
      </c>
      <c r="AY89" s="10" t="n">
        <v>17.89</v>
      </c>
      <c r="AZ89" s="15" t="n">
        <v>-11619000064</v>
      </c>
      <c r="BA89" s="10" t="n">
        <v>22.75</v>
      </c>
      <c r="BB89" s="10" t="n">
        <v>19.08</v>
      </c>
      <c r="BC89" s="17" t="n">
        <f aca="false">IF(AND(ISNUMBER(O89),ISNUMBER(AS89)),O89-AS89,"")</f>
        <v>54</v>
      </c>
      <c r="BD89" s="10" t="n">
        <f aca="false">IF(OR(ISNUMBER(SEARCH("ETF",H89)),AND(F89="",AO89="")),1,0)</f>
        <v>0</v>
      </c>
      <c r="BE89" s="17" t="n">
        <f aca="false">IF(ISNUMBER(L89),IF(L89&gt;=Parameters!$B$3,2,IF(L89&gt;=Parameters!$B$4,1,0)),0)+IF(ISNUMBER(AW89),IF(AW89&gt;0,IF(AND(ISNUMBER(AM89),AM89&gt;=Parameters!$B$5),2,1),0),0)+IF(ISNUMBER(AX89),IF(AND(AX89&gt;0,ISNUMBER(AY89),AY89&gt;=Parameters!$B$6),1,0),0)+IF(ISNUMBER(AO89),IF(AND(AO89&gt;0,AO89&lt;=Parameters!$B$7),1,0),0)+IF(ISNUMBER(F89),IF(F89&gt;=Parameters!$B$8,1,0),0)</f>
        <v>1</v>
      </c>
      <c r="BF89" s="10" t="str">
        <f aca="false">IF(BD89=1,"ETF",IF(OR(AND(ISNUMBER(L89),L89&gt;=Parameters!$B$10),BE89&gt;=Parameters!$B$9),"Established","Early"))</f>
        <v>Early</v>
      </c>
      <c r="BG89" s="10" t="n">
        <f aca="false">IF(LEFT(AH89,6)="Golden",2,IF(LEFT(AH89,5)="Death",-2,0))</f>
        <v>-2</v>
      </c>
      <c r="BH89" s="10" t="n">
        <f aca="false">IF(ISNUMBER(AG89),IF(AG89&gt;Parameters!$B$12,2,IF(AG89&gt;0,1,IF(AG89&gt;=Parameters!$B$13,-1,-2))),0)</f>
        <v>-2</v>
      </c>
      <c r="BI89" s="10" t="n">
        <f aca="false">IF(ISNUMBER(AF89),IF(AND(AF89&gt;=Parameters!$B$14,AF89&lt;=Parameters!$B$15),1,IF(OR(AF89&gt;Parameters!$B$16,AF89&lt;Parameters!$B$17),-1,0)),0)</f>
        <v>1</v>
      </c>
      <c r="BJ89" s="10" t="n">
        <f aca="false">IF(ISNUMBER(AE89),IF(AND(AE89&gt;=Parameters!$B$18,AE89&lt;=Parameters!$B$19),1,IF(OR(AE89&gt;Parameters!$B$20,AE89&lt;Parameters!$B$21),-1,0)),0)</f>
        <v>1</v>
      </c>
      <c r="BK89" s="10" t="n">
        <f aca="false">IF(ISNUMBER(E89),IF(E89&gt;Parameters!$B$22,1,IF(E89&lt;Parameters!$B$23,-1,0)),0)</f>
        <v>0</v>
      </c>
      <c r="BL89" s="10" t="n">
        <f aca="false">IF(ISNUMBER(C89),IF(C89&gt;=Parameters!$B$24,1,IF(C89&lt;=Parameters!$B$25,-1,0)),0)</f>
        <v>-1</v>
      </c>
      <c r="BM89" s="10" t="n">
        <f aca="false">IF(ISNUMBER(AJ89),IF(AND(AJ89&gt;Parameters!$B$26,ISNUMBER(U89)),IF(U89&lt;0,-1,1),0),0)</f>
        <v>0</v>
      </c>
      <c r="BN89" s="10" t="n">
        <f aca="false">IF(ISNUMBER(AD89),IF(AD89&gt;Parameters!$B$27,1,IF(AD89&lt;Parameters!$B$28,-1,0)),0)</f>
        <v>-1</v>
      </c>
      <c r="BO89" s="17" t="n">
        <f aca="false">BG89+BH89+BI89+BJ89+BK89+BL89+BM89+BN89</f>
        <v>-4</v>
      </c>
      <c r="BP89" s="10" t="n">
        <f aca="false">IF(ISNUMBER(F89),IF(F89&gt;=Parameters!$B$30,2,IF(F89&gt;=Parameters!$B$31,1,IF(F89&lt;=Parameters!$B$32,-1,0))),0)</f>
        <v>-1</v>
      </c>
      <c r="BQ89" s="10" t="n">
        <f aca="false">IF(ISNUMBER(AK89),IF(AK89&gt;Parameters!$B$33,1,IF(AK89&lt;0,-1,0)),0)</f>
        <v>-1</v>
      </c>
      <c r="BR89" s="10" t="n">
        <f aca="false">IF(ISNUMBER(AL89),IF(AL89&gt;Parameters!$B$34,1,IF(AL89&lt;0,-1,0)),0)</f>
        <v>-1</v>
      </c>
      <c r="BS89" s="10" t="n">
        <f aca="false">IF(ISNUMBER(AP89),IF(AND(AP89&gt;0,AP89&lt;=Parameters!$B$35),1,IF(AP89&gt;Parameters!$B$36,-1,0)),0)</f>
        <v>1</v>
      </c>
      <c r="BT89" s="10" t="n">
        <f aca="false">IF(ISNUMBER(AY89),IF(AY89&gt;Parameters!$B$37,1,IF(AY89&lt;0,-1,0)),0)</f>
        <v>1</v>
      </c>
      <c r="BU89" s="10" t="n">
        <f aca="false">IF(ISNUMBER(AZ89),IF(AZ89&gt;0,1,0),0)</f>
        <v>0</v>
      </c>
      <c r="BV89" s="10" t="n">
        <f aca="false">IF(ISNUMBER(AL89),IF(AL89&gt;Parameters!$B$39,2,IF(AL89&gt;Parameters!$B$40,1,IF(AL89&lt;0,-2,IF(AL89&lt;Parameters!$B$41,-1,0)))),0)</f>
        <v>-2</v>
      </c>
      <c r="BW89" s="10" t="n">
        <f aca="false">IF(ISNUMBER(AV89),IF(AV89&gt;Parameters!$B$42,1,IF(AV89&lt;Parameters!$B$43,-1,0)),0)</f>
        <v>0</v>
      </c>
      <c r="BX89" s="10" t="n">
        <f aca="false">IF(AND(ISNUMBER(AX89),AX89&gt;0),1,IF(AND(ISNUMBER(AY89),AY89&lt;Parameters!$B$44),-1,0))</f>
        <v>1</v>
      </c>
      <c r="BY89" s="10" t="n">
        <f aca="false">IF(ISNUMBER(AW89),IF(AW89&gt;0,1,0),0)</f>
        <v>0</v>
      </c>
      <c r="BZ89" s="10" t="n">
        <f aca="false">IF(ISNUMBER(AQ89),IF(AQ89&gt;Parameters!$B$46,-2,IF(AQ89&gt;Parameters!$B$45,-1,0)),0)</f>
        <v>0</v>
      </c>
      <c r="CA89" s="10" t="n">
        <f aca="false">IF(ISNUMBER(F89),IF(F89&gt;=Parameters!$B$47,1,IF(F89&lt;=Parameters!$B$48,-1,0)),0)</f>
        <v>-1</v>
      </c>
      <c r="CB89" s="17" t="n">
        <f aca="false">IF(BF89="Established",BP89+BQ89+BR89+BS89+BT89+BU89,IF(BF89="Early",BV89+BW89+BX89+BY89+BZ89+CA89,0))</f>
        <v>-2</v>
      </c>
      <c r="CC89" s="18" t="n">
        <f aca="false">IF(BF89="Established",BO89+CB89,IF(BF89="Early",BO89+Parameters!$B$50*CB89,BO89))</f>
        <v>-5</v>
      </c>
      <c r="CD89" s="17" t="n">
        <f aca="false">IF(BF89="Established",IF(CC89&gt;=Parameters!$B$51,6,IF(CC89&gt;=Parameters!$B$52,5,IF(CC89&gt;=Parameters!$B$53,4,IF(CC89&gt;=Parameters!$B$54,3,IF(CC89&gt;=Parameters!$B$55,2,1))))),IF(BF89="Early",IF(CC89&gt;=Parameters!$B$56,5,IF(CC89&gt;=Parameters!$B$57,4,IF(CC89&gt;=Parameters!$B$58,3,IF(CC89&gt;=Parameters!$B$59,2,1)))),IF(CC89&gt;=Parameters!$B$60,6,IF(CC89&gt;=Parameters!$B$61,5,IF(CC89&gt;=Parameters!$B$62,4,IF(CC89&gt;=Parameters!$B$63,3,IF(CC89&gt;=Parameters!$B$64,2,1)))))))</f>
        <v>1</v>
      </c>
      <c r="CE89" s="10" t="n">
        <f aca="false">IF(AND(ISNUMBER(AR89),AR89&lt;Parameters!$B$66),1,0)</f>
        <v>0</v>
      </c>
      <c r="CF89" s="10" t="n">
        <f aca="false">IF(AND(LEFT(AH89,5)="Death",ISNUMBER(AG89)),IF(BF89="Early",IF(AND(AG89&lt;Parameters!$B$70,ISNUMBER(U89),U89&lt;Parameters!$B$71),1,0),IF(AND(AG89&lt;Parameters!$B$67,OR(AND(ISNUMBER(U89),U89&lt;Parameters!$B$68),AND(ISNUMBER(V89),V89&lt;Parameters!$B$69))),1,0)),0)</f>
        <v>0</v>
      </c>
      <c r="CG89" s="10" t="n">
        <f aca="false">IF(AND(ISNUMBER(AG89),AG89&lt;0),1,0)</f>
        <v>1</v>
      </c>
      <c r="CH89" s="10" t="n">
        <f aca="false">IF(OR(AND(ISNUMBER(U89),U89&gt;Parameters!$B$74),AND(ISNUMBER(AF89),AF89&gt;Parameters!$B$75),AND(ISNUMBER(AE89),AE89&gt;Parameters!$B$76)),1,0)</f>
        <v>0</v>
      </c>
      <c r="CI89" s="10" t="n">
        <f aca="false">IF(AND(ISNUMBER(BC89),BC89&gt;=0,BC89&lt;=Parameters!$B$77),1,0)</f>
        <v>0</v>
      </c>
      <c r="CJ89" s="17" t="n">
        <f aca="false">IF(CF89=1,1,MIN(CD89,IF(CE89=1,3,6),IF(CG89=1,IF(BF89="Early",Parameters!$B$73,Parameters!$B$72),6),IF(CH89=1,3,6),IF(CI89=1,3,6)))</f>
        <v>1</v>
      </c>
      <c r="CK89" s="10" t="str">
        <f aca="false">INDEX(Parameters!$F$2:$F$7,CJ89)</f>
        <v>Sell Immediately</v>
      </c>
      <c r="CL89" s="10" t="str">
        <f aca="false">IF(CF89=1,"Hard sell: breakdown; ","")&amp;IF(CE89=1,"Insufficient history; ","")&amp;IF(AND(CF89=0,CG89=1),"Below 200D; ","")&amp;IF(CH89=1,"Extended - wait for pullback; ","")&amp;IF(CI89=1,"Earnings within "&amp;Parameters!$B$77&amp;"d; ","")</f>
        <v>Below 200D; </v>
      </c>
    </row>
    <row r="90" customFormat="false" ht="15" hidden="false" customHeight="false" outlineLevel="0" collapsed="false">
      <c r="A90" s="10" t="s">
        <v>525</v>
      </c>
      <c r="B90" s="10" t="n">
        <v>3</v>
      </c>
      <c r="C90" s="10" t="n">
        <v>3</v>
      </c>
      <c r="D90" s="10" t="n">
        <v>17.7</v>
      </c>
      <c r="E90" s="10" t="n">
        <v>1.5</v>
      </c>
      <c r="F90" s="10" t="n">
        <v>4</v>
      </c>
      <c r="G90" s="10" t="s">
        <v>526</v>
      </c>
      <c r="H90" s="10" t="s">
        <v>527</v>
      </c>
      <c r="I90" s="10" t="n">
        <v>108.84</v>
      </c>
      <c r="J90" s="10" t="s">
        <v>295</v>
      </c>
      <c r="K90" s="10" t="s">
        <v>366</v>
      </c>
      <c r="L90" s="15" t="n">
        <v>271927223481</v>
      </c>
      <c r="M90" s="16" t="n">
        <v>46254</v>
      </c>
      <c r="N90" s="10" t="n">
        <v>-21.26</v>
      </c>
      <c r="O90" s="16" t="n">
        <v>46345</v>
      </c>
      <c r="P90" s="10" t="s">
        <v>297</v>
      </c>
      <c r="Q90" s="10" t="n">
        <v>-0.51</v>
      </c>
      <c r="R90" s="10" t="n">
        <v>-2.89</v>
      </c>
      <c r="S90" s="10" t="n">
        <v>-2.66</v>
      </c>
      <c r="T90" s="10" t="n">
        <v>-9.17</v>
      </c>
      <c r="U90" s="10" t="n">
        <v>-14.87</v>
      </c>
      <c r="V90" s="10" t="n">
        <v>-5.67</v>
      </c>
      <c r="W90" s="10" t="n">
        <v>-20.14</v>
      </c>
      <c r="X90" s="10" t="n">
        <v>-26.01</v>
      </c>
      <c r="Y90" s="10"/>
      <c r="Z90" s="10"/>
      <c r="AA90" s="10"/>
      <c r="AB90" s="10"/>
      <c r="AC90" s="10" t="n">
        <v>-10.31</v>
      </c>
      <c r="AD90" s="10" t="n">
        <v>-43.51</v>
      </c>
      <c r="AE90" s="10" t="n">
        <v>35.22</v>
      </c>
      <c r="AF90" s="10" t="n">
        <v>-7.02</v>
      </c>
      <c r="AG90" s="10" t="n">
        <v>-19.23</v>
      </c>
      <c r="AH90" s="10" t="s">
        <v>377</v>
      </c>
      <c r="AI90" s="10" t="n">
        <v>-1.34</v>
      </c>
      <c r="AJ90" s="10" t="n">
        <v>-48.53</v>
      </c>
      <c r="AK90" s="10" t="n">
        <v>-73.9</v>
      </c>
      <c r="AL90" s="10" t="n">
        <v>8.6</v>
      </c>
      <c r="AM90" s="10" t="n">
        <v>7.02</v>
      </c>
      <c r="AN90" s="10" t="n">
        <v>6.36</v>
      </c>
      <c r="AO90" s="10" t="n">
        <v>12.08</v>
      </c>
      <c r="AP90" s="10" t="n">
        <v>-0.33</v>
      </c>
      <c r="AQ90" s="10" t="n">
        <v>1.89</v>
      </c>
      <c r="AR90" s="10" t="n">
        <v>300</v>
      </c>
      <c r="AS90" s="16" t="n">
        <v>46275</v>
      </c>
      <c r="AT90" s="15" t="n">
        <v>155721577781</v>
      </c>
      <c r="AU90" s="15" t="n">
        <v>59484017191</v>
      </c>
      <c r="AV90" s="10" t="n">
        <v>38.2</v>
      </c>
      <c r="AW90" s="15" t="n">
        <v>10926891910</v>
      </c>
      <c r="AX90" s="15" t="n">
        <v>-12315627306</v>
      </c>
      <c r="AY90" s="10" t="n">
        <v>-7.91</v>
      </c>
      <c r="AZ90" s="15" t="n">
        <v>17758265205</v>
      </c>
      <c r="BA90" s="10" t="n">
        <v>18.32</v>
      </c>
      <c r="BB90" s="10" t="n">
        <v>16.74</v>
      </c>
      <c r="BC90" s="17" t="n">
        <f aca="false">IF(AND(ISNUMBER(O90),ISNUMBER(AS90)),O90-AS90,"")</f>
        <v>70</v>
      </c>
      <c r="BD90" s="10" t="n">
        <f aca="false">IF(OR(ISNUMBER(SEARCH("ETF",H90)),AND(F90="",AO90="")),1,0)</f>
        <v>0</v>
      </c>
      <c r="BE90" s="17" t="n">
        <f aca="false">IF(ISNUMBER(L90),IF(L90&gt;=Parameters!$B$3,2,IF(L90&gt;=Parameters!$B$4,1,0)),0)+IF(ISNUMBER(AW90),IF(AW90&gt;0,IF(AND(ISNUMBER(AM90),AM90&gt;=Parameters!$B$5),2,1),0),0)+IF(ISNUMBER(AX90),IF(AND(AX90&gt;0,ISNUMBER(AY90),AY90&gt;=Parameters!$B$6),1,0),0)+IF(ISNUMBER(AO90),IF(AND(AO90&gt;0,AO90&lt;=Parameters!$B$7),1,0),0)+IF(ISNUMBER(F90),IF(F90&gt;=Parameters!$B$8,1,0),0)</f>
        <v>5</v>
      </c>
      <c r="BF90" s="10" t="str">
        <f aca="false">IF(BD90=1,"ETF",IF(OR(AND(ISNUMBER(L90),L90&gt;=Parameters!$B$10),BE90&gt;=Parameters!$B$9),"Established","Early"))</f>
        <v>Established</v>
      </c>
      <c r="BG90" s="10" t="n">
        <f aca="false">IF(LEFT(AH90,6)="Golden",2,IF(LEFT(AH90,5)="Death",-2,0))</f>
        <v>-2</v>
      </c>
      <c r="BH90" s="10" t="n">
        <f aca="false">IF(ISNUMBER(AG90),IF(AG90&gt;Parameters!$B$12,2,IF(AG90&gt;0,1,IF(AG90&gt;=Parameters!$B$13,-1,-2))),0)</f>
        <v>-2</v>
      </c>
      <c r="BI90" s="10" t="n">
        <f aca="false">IF(ISNUMBER(AF90),IF(AND(AF90&gt;=Parameters!$B$14,AF90&lt;=Parameters!$B$15),1,IF(OR(AF90&gt;Parameters!$B$16,AF90&lt;Parameters!$B$17),-1,0)),0)</f>
        <v>0</v>
      </c>
      <c r="BJ90" s="10" t="n">
        <f aca="false">IF(ISNUMBER(AE90),IF(AND(AE90&gt;=Parameters!$B$18,AE90&lt;=Parameters!$B$19),1,IF(OR(AE90&gt;Parameters!$B$20,AE90&lt;Parameters!$B$21),-1,0)),0)</f>
        <v>0</v>
      </c>
      <c r="BK90" s="10" t="n">
        <f aca="false">IF(ISNUMBER(E90),IF(E90&gt;Parameters!$B$22,1,IF(E90&lt;Parameters!$B$23,-1,0)),0)</f>
        <v>0</v>
      </c>
      <c r="BL90" s="10" t="n">
        <f aca="false">IF(ISNUMBER(C90),IF(C90&gt;=Parameters!$B$24,1,IF(C90&lt;=Parameters!$B$25,-1,0)),0)</f>
        <v>-1</v>
      </c>
      <c r="BM90" s="10" t="n">
        <f aca="false">IF(ISNUMBER(AJ90),IF(AND(AJ90&gt;Parameters!$B$26,ISNUMBER(U90)),IF(U90&lt;0,-1,1),0),0)</f>
        <v>0</v>
      </c>
      <c r="BN90" s="10" t="n">
        <f aca="false">IF(ISNUMBER(AD90),IF(AD90&gt;Parameters!$B$27,1,IF(AD90&lt;Parameters!$B$28,-1,0)),0)</f>
        <v>-1</v>
      </c>
      <c r="BO90" s="17" t="n">
        <f aca="false">BG90+BH90+BI90+BJ90+BK90+BL90+BM90+BN90</f>
        <v>-6</v>
      </c>
      <c r="BP90" s="10" t="n">
        <f aca="false">IF(ISNUMBER(F90),IF(F90&gt;=Parameters!$B$30,2,IF(F90&gt;=Parameters!$B$31,1,IF(F90&lt;=Parameters!$B$32,-1,0))),0)</f>
        <v>-1</v>
      </c>
      <c r="BQ90" s="10" t="n">
        <f aca="false">IF(ISNUMBER(AK90),IF(AK90&gt;Parameters!$B$33,1,IF(AK90&lt;0,-1,0)),0)</f>
        <v>-1</v>
      </c>
      <c r="BR90" s="10" t="n">
        <f aca="false">IF(ISNUMBER(AL90),IF(AL90&gt;Parameters!$B$34,1,IF(AL90&lt;0,-1,0)),0)</f>
        <v>0</v>
      </c>
      <c r="BS90" s="10" t="n">
        <f aca="false">IF(ISNUMBER(AP90),IF(AND(AP90&gt;0,AP90&lt;=Parameters!$B$35),1,IF(AP90&gt;Parameters!$B$36,-1,0)),0)</f>
        <v>0</v>
      </c>
      <c r="BT90" s="10" t="n">
        <f aca="false">IF(ISNUMBER(AY90),IF(AY90&gt;Parameters!$B$37,1,IF(AY90&lt;0,-1,0)),0)</f>
        <v>-1</v>
      </c>
      <c r="BU90" s="10" t="n">
        <f aca="false">IF(ISNUMBER(AZ90),IF(AZ90&gt;0,1,0),0)</f>
        <v>1</v>
      </c>
      <c r="BV90" s="10" t="n">
        <f aca="false">IF(ISNUMBER(AL90),IF(AL90&gt;Parameters!$B$39,2,IF(AL90&gt;Parameters!$B$40,1,IF(AL90&lt;0,-2,IF(AL90&lt;Parameters!$B$41,-1,0)))),0)</f>
        <v>0</v>
      </c>
      <c r="BW90" s="10" t="n">
        <f aca="false">IF(ISNUMBER(AV90),IF(AV90&gt;Parameters!$B$42,1,IF(AV90&lt;Parameters!$B$43,-1,0)),0)</f>
        <v>0</v>
      </c>
      <c r="BX90" s="10" t="n">
        <f aca="false">IF(AND(ISNUMBER(AX90),AX90&gt;0),1,IF(AND(ISNUMBER(AY90),AY90&lt;Parameters!$B$44),-1,0))</f>
        <v>0</v>
      </c>
      <c r="BY90" s="10" t="n">
        <f aca="false">IF(ISNUMBER(AW90),IF(AW90&gt;0,1,0),0)</f>
        <v>1</v>
      </c>
      <c r="BZ90" s="10" t="n">
        <f aca="false">IF(ISNUMBER(AQ90),IF(AQ90&gt;Parameters!$B$46,-2,IF(AQ90&gt;Parameters!$B$45,-1,0)),0)</f>
        <v>0</v>
      </c>
      <c r="CA90" s="10" t="n">
        <f aca="false">IF(ISNUMBER(F90),IF(F90&gt;=Parameters!$B$47,1,IF(F90&lt;=Parameters!$B$48,-1,0)),0)</f>
        <v>0</v>
      </c>
      <c r="CB90" s="17" t="n">
        <f aca="false">IF(BF90="Established",BP90+BQ90+BR90+BS90+BT90+BU90,IF(BF90="Early",BV90+BW90+BX90+BY90+BZ90+CA90,0))</f>
        <v>-2</v>
      </c>
      <c r="CC90" s="18" t="n">
        <f aca="false">IF(BF90="Established",BO90+CB90,IF(BF90="Early",BO90+Parameters!$B$50*CB90,BO90))</f>
        <v>-8</v>
      </c>
      <c r="CD90" s="17" t="n">
        <f aca="false">IF(BF90="Established",IF(CC90&gt;=Parameters!$B$51,6,IF(CC90&gt;=Parameters!$B$52,5,IF(CC90&gt;=Parameters!$B$53,4,IF(CC90&gt;=Parameters!$B$54,3,IF(CC90&gt;=Parameters!$B$55,2,1))))),IF(BF90="Early",IF(CC90&gt;=Parameters!$B$56,5,IF(CC90&gt;=Parameters!$B$57,4,IF(CC90&gt;=Parameters!$B$58,3,IF(CC90&gt;=Parameters!$B$59,2,1)))),IF(CC90&gt;=Parameters!$B$60,6,IF(CC90&gt;=Parameters!$B$61,5,IF(CC90&gt;=Parameters!$B$62,4,IF(CC90&gt;=Parameters!$B$63,3,IF(CC90&gt;=Parameters!$B$64,2,1)))))))</f>
        <v>1</v>
      </c>
      <c r="CE90" s="10" t="n">
        <f aca="false">IF(AND(ISNUMBER(AR90),AR90&lt;Parameters!$B$66),1,0)</f>
        <v>0</v>
      </c>
      <c r="CF90" s="10" t="n">
        <f aca="false">IF(AND(LEFT(AH90,5)="Death",ISNUMBER(AG90)),IF(BF90="Early",IF(AND(AG90&lt;Parameters!$B$70,ISNUMBER(U90),U90&lt;Parameters!$B$71),1,0),IF(AND(AG90&lt;Parameters!$B$67,OR(AND(ISNUMBER(U90),U90&lt;Parameters!$B$68),AND(ISNUMBER(V90),V90&lt;Parameters!$B$69))),1,0)),0)</f>
        <v>1</v>
      </c>
      <c r="CG90" s="10" t="n">
        <f aca="false">IF(AND(ISNUMBER(AG90),AG90&lt;0),1,0)</f>
        <v>1</v>
      </c>
      <c r="CH90" s="10" t="n">
        <f aca="false">IF(OR(AND(ISNUMBER(U90),U90&gt;Parameters!$B$74),AND(ISNUMBER(AF90),AF90&gt;Parameters!$B$75),AND(ISNUMBER(AE90),AE90&gt;Parameters!$B$76)),1,0)</f>
        <v>0</v>
      </c>
      <c r="CI90" s="10" t="n">
        <f aca="false">IF(AND(ISNUMBER(BC90),BC90&gt;=0,BC90&lt;=Parameters!$B$77),1,0)</f>
        <v>0</v>
      </c>
      <c r="CJ90" s="17" t="n">
        <f aca="false">IF(CF90=1,1,MIN(CD90,IF(CE90=1,3,6),IF(CG90=1,IF(BF90="Early",Parameters!$B$73,Parameters!$B$72),6),IF(CH90=1,3,6),IF(CI90=1,3,6)))</f>
        <v>1</v>
      </c>
      <c r="CK90" s="10" t="str">
        <f aca="false">INDEX(Parameters!$F$2:$F$7,CJ90)</f>
        <v>Sell Immediately</v>
      </c>
      <c r="CL90" s="10" t="str">
        <f aca="false">IF(CF90=1,"Hard sell: breakdown; ","")&amp;IF(CE90=1,"Insufficient history; ","")&amp;IF(AND(CF90=0,CG90=1),"Below 200D; ","")&amp;IF(CH90=1,"Extended - wait for pullback; ","")&amp;IF(CI90=1,"Earnings within "&amp;Parameters!$B$77&amp;"d; ","")</f>
        <v>Hard sell: breakdown; </v>
      </c>
    </row>
    <row r="91" customFormat="false" ht="15" hidden="false" customHeight="false" outlineLevel="0" collapsed="false">
      <c r="A91" s="10" t="s">
        <v>528</v>
      </c>
      <c r="B91" s="10" t="n">
        <v>3</v>
      </c>
      <c r="C91" s="10" t="n">
        <v>3</v>
      </c>
      <c r="D91" s="10" t="n">
        <v>28.7</v>
      </c>
      <c r="E91" s="10" t="n">
        <v>-8.5</v>
      </c>
      <c r="F91" s="10" t="n">
        <v>3</v>
      </c>
      <c r="G91" s="10" t="s">
        <v>529</v>
      </c>
      <c r="H91" s="10" t="s">
        <v>386</v>
      </c>
      <c r="I91" s="10" t="n">
        <v>12.58</v>
      </c>
      <c r="J91" s="10" t="s">
        <v>295</v>
      </c>
      <c r="K91" s="10" t="s">
        <v>366</v>
      </c>
      <c r="L91" s="15" t="n">
        <v>5075367298</v>
      </c>
      <c r="M91" s="16" t="n">
        <v>46232</v>
      </c>
      <c r="N91" s="10" t="n">
        <v>22.73</v>
      </c>
      <c r="O91" s="16" t="n">
        <v>46323</v>
      </c>
      <c r="P91" s="10" t="s">
        <v>297</v>
      </c>
      <c r="Q91" s="10" t="n">
        <v>-2.59</v>
      </c>
      <c r="R91" s="10" t="n">
        <v>-2.2</v>
      </c>
      <c r="S91" s="10" t="n">
        <v>-4.88</v>
      </c>
      <c r="T91" s="10" t="n">
        <v>-9.47</v>
      </c>
      <c r="U91" s="10" t="n">
        <v>-14.92</v>
      </c>
      <c r="V91" s="10" t="n">
        <v>-23.37</v>
      </c>
      <c r="W91" s="10" t="n">
        <v>-23.14</v>
      </c>
      <c r="X91" s="10" t="n">
        <v>-17.49</v>
      </c>
      <c r="Y91" s="10"/>
      <c r="Z91" s="10"/>
      <c r="AA91" s="10"/>
      <c r="AB91" s="10"/>
      <c r="AC91" s="10" t="n">
        <v>-28.01</v>
      </c>
      <c r="AD91" s="10" t="n">
        <v>-43.53</v>
      </c>
      <c r="AE91" s="10" t="n">
        <v>29.4</v>
      </c>
      <c r="AF91" s="10" t="n">
        <v>-17.24</v>
      </c>
      <c r="AG91" s="10" t="n">
        <v>-28.39</v>
      </c>
      <c r="AH91" s="10" t="s">
        <v>530</v>
      </c>
      <c r="AI91" s="10" t="n">
        <v>-0.03</v>
      </c>
      <c r="AJ91" s="10" t="n">
        <v>-2.65</v>
      </c>
      <c r="AK91" s="10" t="n">
        <v>-5.18</v>
      </c>
      <c r="AL91" s="10" t="n">
        <v>-5.2</v>
      </c>
      <c r="AM91" s="10" t="n">
        <v>6.37</v>
      </c>
      <c r="AN91" s="10" t="n">
        <v>22.09</v>
      </c>
      <c r="AO91" s="10" t="n">
        <v>10.04</v>
      </c>
      <c r="AP91" s="10" t="n">
        <v>-1.17</v>
      </c>
      <c r="AQ91" s="10" t="n">
        <v>8.3</v>
      </c>
      <c r="AR91" s="10" t="n">
        <v>300</v>
      </c>
      <c r="AS91" s="16" t="n">
        <v>46275</v>
      </c>
      <c r="AT91" s="15" t="n">
        <v>12784847872</v>
      </c>
      <c r="AU91" s="15" t="n">
        <v>6494433792</v>
      </c>
      <c r="AV91" s="10" t="n">
        <v>50.8</v>
      </c>
      <c r="AW91" s="15" t="n">
        <v>814185024</v>
      </c>
      <c r="AX91" s="15" t="n">
        <v>781847872</v>
      </c>
      <c r="AY91" s="10" t="n">
        <v>6.12</v>
      </c>
      <c r="AZ91" s="15" t="n">
        <v>-4283618944</v>
      </c>
      <c r="BA91" s="10" t="n">
        <v>0.8</v>
      </c>
      <c r="BB91" s="10" t="n">
        <v>1.02</v>
      </c>
      <c r="BC91" s="17" t="n">
        <f aca="false">IF(AND(ISNUMBER(O91),ISNUMBER(AS91)),O91-AS91,"")</f>
        <v>48</v>
      </c>
      <c r="BD91" s="10" t="n">
        <f aca="false">IF(OR(ISNUMBER(SEARCH("ETF",H91)),AND(F91="",AO91="")),1,0)</f>
        <v>0</v>
      </c>
      <c r="BE91" s="17" t="n">
        <f aca="false">IF(ISNUMBER(L91),IF(L91&gt;=Parameters!$B$3,2,IF(L91&gt;=Parameters!$B$4,1,0)),0)+IF(ISNUMBER(AW91),IF(AW91&gt;0,IF(AND(ISNUMBER(AM91),AM91&gt;=Parameters!$B$5),2,1),0),0)+IF(ISNUMBER(AX91),IF(AND(AX91&gt;0,ISNUMBER(AY91),AY91&gt;=Parameters!$B$6),1,0),0)+IF(ISNUMBER(AO91),IF(AND(AO91&gt;0,AO91&lt;=Parameters!$B$7),1,0),0)+IF(ISNUMBER(F91),IF(F91&gt;=Parameters!$B$8,1,0),0)</f>
        <v>4</v>
      </c>
      <c r="BF91" s="10" t="str">
        <f aca="false">IF(BD91=1,"ETF",IF(OR(AND(ISNUMBER(L91),L91&gt;=Parameters!$B$10),BE91&gt;=Parameters!$B$9),"Established","Early"))</f>
        <v>Early</v>
      </c>
      <c r="BG91" s="10" t="n">
        <f aca="false">IF(LEFT(AH91,6)="Golden",2,IF(LEFT(AH91,5)="Death",-2,0))</f>
        <v>-2</v>
      </c>
      <c r="BH91" s="10" t="n">
        <f aca="false">IF(ISNUMBER(AG91),IF(AG91&gt;Parameters!$B$12,2,IF(AG91&gt;0,1,IF(AG91&gt;=Parameters!$B$13,-1,-2))),0)</f>
        <v>-2</v>
      </c>
      <c r="BI91" s="10" t="n">
        <f aca="false">IF(ISNUMBER(AF91),IF(AND(AF91&gt;=Parameters!$B$14,AF91&lt;=Parameters!$B$15),1,IF(OR(AF91&gt;Parameters!$B$16,AF91&lt;Parameters!$B$17),-1,0)),0)</f>
        <v>-1</v>
      </c>
      <c r="BJ91" s="10" t="n">
        <f aca="false">IF(ISNUMBER(AE91),IF(AND(AE91&gt;=Parameters!$B$18,AE91&lt;=Parameters!$B$19),1,IF(OR(AE91&gt;Parameters!$B$20,AE91&lt;Parameters!$B$21),-1,0)),0)</f>
        <v>-1</v>
      </c>
      <c r="BK91" s="10" t="n">
        <f aca="false">IF(ISNUMBER(E91),IF(E91&gt;Parameters!$B$22,1,IF(E91&lt;Parameters!$B$23,-1,0)),0)</f>
        <v>-1</v>
      </c>
      <c r="BL91" s="10" t="n">
        <f aca="false">IF(ISNUMBER(C91),IF(C91&gt;=Parameters!$B$24,1,IF(C91&lt;=Parameters!$B$25,-1,0)),0)</f>
        <v>-1</v>
      </c>
      <c r="BM91" s="10" t="n">
        <f aca="false">IF(ISNUMBER(AJ91),IF(AND(AJ91&gt;Parameters!$B$26,ISNUMBER(U91)),IF(U91&lt;0,-1,1),0),0)</f>
        <v>0</v>
      </c>
      <c r="BN91" s="10" t="n">
        <f aca="false">IF(ISNUMBER(AD91),IF(AD91&gt;Parameters!$B$27,1,IF(AD91&lt;Parameters!$B$28,-1,0)),0)</f>
        <v>-1</v>
      </c>
      <c r="BO91" s="17" t="n">
        <f aca="false">BG91+BH91+BI91+BJ91+BK91+BL91+BM91+BN91</f>
        <v>-9</v>
      </c>
      <c r="BP91" s="10" t="n">
        <f aca="false">IF(ISNUMBER(F91),IF(F91&gt;=Parameters!$B$30,2,IF(F91&gt;=Parameters!$B$31,1,IF(F91&lt;=Parameters!$B$32,-1,0))),0)</f>
        <v>-1</v>
      </c>
      <c r="BQ91" s="10" t="n">
        <f aca="false">IF(ISNUMBER(AK91),IF(AK91&gt;Parameters!$B$33,1,IF(AK91&lt;0,-1,0)),0)</f>
        <v>-1</v>
      </c>
      <c r="BR91" s="10" t="n">
        <f aca="false">IF(ISNUMBER(AL91),IF(AL91&gt;Parameters!$B$34,1,IF(AL91&lt;0,-1,0)),0)</f>
        <v>-1</v>
      </c>
      <c r="BS91" s="10" t="n">
        <f aca="false">IF(ISNUMBER(AP91),IF(AND(AP91&gt;0,AP91&lt;=Parameters!$B$35),1,IF(AP91&gt;Parameters!$B$36,-1,0)),0)</f>
        <v>0</v>
      </c>
      <c r="BT91" s="10" t="n">
        <f aca="false">IF(ISNUMBER(AY91),IF(AY91&gt;Parameters!$B$37,1,IF(AY91&lt;0,-1,0)),0)</f>
        <v>0</v>
      </c>
      <c r="BU91" s="10" t="n">
        <f aca="false">IF(ISNUMBER(AZ91),IF(AZ91&gt;0,1,0),0)</f>
        <v>0</v>
      </c>
      <c r="BV91" s="10" t="n">
        <f aca="false">IF(ISNUMBER(AL91),IF(AL91&gt;Parameters!$B$39,2,IF(AL91&gt;Parameters!$B$40,1,IF(AL91&lt;0,-2,IF(AL91&lt;Parameters!$B$41,-1,0)))),0)</f>
        <v>-2</v>
      </c>
      <c r="BW91" s="10" t="n">
        <f aca="false">IF(ISNUMBER(AV91),IF(AV91&gt;Parameters!$B$42,1,IF(AV91&lt;Parameters!$B$43,-1,0)),0)</f>
        <v>1</v>
      </c>
      <c r="BX91" s="10" t="n">
        <f aca="false">IF(AND(ISNUMBER(AX91),AX91&gt;0),1,IF(AND(ISNUMBER(AY91),AY91&lt;Parameters!$B$44),-1,0))</f>
        <v>1</v>
      </c>
      <c r="BY91" s="10" t="n">
        <f aca="false">IF(ISNUMBER(AW91),IF(AW91&gt;0,1,0),0)</f>
        <v>1</v>
      </c>
      <c r="BZ91" s="10" t="n">
        <f aca="false">IF(ISNUMBER(AQ91),IF(AQ91&gt;Parameters!$B$46,-2,IF(AQ91&gt;Parameters!$B$45,-1,0)),0)</f>
        <v>0</v>
      </c>
      <c r="CA91" s="10" t="n">
        <f aca="false">IF(ISNUMBER(F91),IF(F91&gt;=Parameters!$B$47,1,IF(F91&lt;=Parameters!$B$48,-1,0)),0)</f>
        <v>-1</v>
      </c>
      <c r="CB91" s="17" t="n">
        <f aca="false">IF(BF91="Established",BP91+BQ91+BR91+BS91+BT91+BU91,IF(BF91="Early",BV91+BW91+BX91+BY91+BZ91+CA91,0))</f>
        <v>0</v>
      </c>
      <c r="CC91" s="18" t="n">
        <f aca="false">IF(BF91="Established",BO91+CB91,IF(BF91="Early",BO91+Parameters!$B$50*CB91,BO91))</f>
        <v>-9</v>
      </c>
      <c r="CD91" s="17" t="n">
        <f aca="false">IF(BF91="Established",IF(CC91&gt;=Parameters!$B$51,6,IF(CC91&gt;=Parameters!$B$52,5,IF(CC91&gt;=Parameters!$B$53,4,IF(CC91&gt;=Parameters!$B$54,3,IF(CC91&gt;=Parameters!$B$55,2,1))))),IF(BF91="Early",IF(CC91&gt;=Parameters!$B$56,5,IF(CC91&gt;=Parameters!$B$57,4,IF(CC91&gt;=Parameters!$B$58,3,IF(CC91&gt;=Parameters!$B$59,2,1)))),IF(CC91&gt;=Parameters!$B$60,6,IF(CC91&gt;=Parameters!$B$61,5,IF(CC91&gt;=Parameters!$B$62,4,IF(CC91&gt;=Parameters!$B$63,3,IF(CC91&gt;=Parameters!$B$64,2,1)))))))</f>
        <v>1</v>
      </c>
      <c r="CE91" s="10" t="n">
        <f aca="false">IF(AND(ISNUMBER(AR91),AR91&lt;Parameters!$B$66),1,0)</f>
        <v>0</v>
      </c>
      <c r="CF91" s="10" t="n">
        <f aca="false">IF(AND(LEFT(AH91,5)="Death",ISNUMBER(AG91)),IF(BF91="Early",IF(AND(AG91&lt;Parameters!$B$70,ISNUMBER(U91),U91&lt;Parameters!$B$71),1,0),IF(AND(AG91&lt;Parameters!$B$67,OR(AND(ISNUMBER(U91),U91&lt;Parameters!$B$68),AND(ISNUMBER(V91),V91&lt;Parameters!$B$69))),1,0)),0)</f>
        <v>1</v>
      </c>
      <c r="CG91" s="10" t="n">
        <f aca="false">IF(AND(ISNUMBER(AG91),AG91&lt;0),1,0)</f>
        <v>1</v>
      </c>
      <c r="CH91" s="10" t="n">
        <f aca="false">IF(OR(AND(ISNUMBER(U91),U91&gt;Parameters!$B$74),AND(ISNUMBER(AF91),AF91&gt;Parameters!$B$75),AND(ISNUMBER(AE91),AE91&gt;Parameters!$B$76)),1,0)</f>
        <v>0</v>
      </c>
      <c r="CI91" s="10" t="n">
        <f aca="false">IF(AND(ISNUMBER(BC91),BC91&gt;=0,BC91&lt;=Parameters!$B$77),1,0)</f>
        <v>0</v>
      </c>
      <c r="CJ91" s="17" t="n">
        <f aca="false">IF(CF91=1,1,MIN(CD91,IF(CE91=1,3,6),IF(CG91=1,IF(BF91="Early",Parameters!$B$73,Parameters!$B$72),6),IF(CH91=1,3,6),IF(CI91=1,3,6)))</f>
        <v>1</v>
      </c>
      <c r="CK91" s="10" t="str">
        <f aca="false">INDEX(Parameters!$F$2:$F$7,CJ91)</f>
        <v>Sell Immediately</v>
      </c>
      <c r="CL91" s="10" t="str">
        <f aca="false">IF(CF91=1,"Hard sell: breakdown; ","")&amp;IF(CE91=1,"Insufficient history; ","")&amp;IF(AND(CF91=0,CG91=1),"Below 200D; ","")&amp;IF(CH91=1,"Extended - wait for pullback; ","")&amp;IF(CI91=1,"Earnings within "&amp;Parameters!$B$77&amp;"d; ","")</f>
        <v>Hard sell: breakdown; </v>
      </c>
    </row>
    <row r="92" customFormat="false" ht="15" hidden="false" customHeight="false" outlineLevel="0" collapsed="false">
      <c r="A92" s="10" t="s">
        <v>531</v>
      </c>
      <c r="B92" s="10" t="n">
        <v>3</v>
      </c>
      <c r="C92" s="10" t="n">
        <v>3</v>
      </c>
      <c r="D92" s="10" t="n">
        <v>15.6</v>
      </c>
      <c r="E92" s="10" t="n">
        <v>4</v>
      </c>
      <c r="F92" s="10" t="n">
        <v>2</v>
      </c>
      <c r="G92" s="10" t="s">
        <v>532</v>
      </c>
      <c r="H92" s="10" t="s">
        <v>304</v>
      </c>
      <c r="I92" s="10" t="n">
        <v>129.5</v>
      </c>
      <c r="J92" s="10" t="s">
        <v>295</v>
      </c>
      <c r="K92" s="10" t="s">
        <v>296</v>
      </c>
      <c r="L92" s="15" t="n">
        <v>52719276281</v>
      </c>
      <c r="M92" s="16" t="n">
        <v>46233</v>
      </c>
      <c r="N92" s="10" t="n">
        <v>-896.42</v>
      </c>
      <c r="O92" s="16" t="n">
        <v>46324</v>
      </c>
      <c r="P92" s="10" t="s">
        <v>297</v>
      </c>
      <c r="Q92" s="10" t="n">
        <v>-2.41</v>
      </c>
      <c r="R92" s="10" t="n">
        <v>-2.8</v>
      </c>
      <c r="S92" s="10" t="n">
        <v>5.12</v>
      </c>
      <c r="T92" s="10" t="n">
        <v>5.12</v>
      </c>
      <c r="U92" s="10" t="n">
        <v>34.77</v>
      </c>
      <c r="V92" s="10" t="n">
        <v>12.27</v>
      </c>
      <c r="W92" s="10" t="n">
        <v>-6.38</v>
      </c>
      <c r="X92" s="10" t="n">
        <v>-60.58</v>
      </c>
      <c r="Y92" s="10"/>
      <c r="Z92" s="10"/>
      <c r="AA92" s="10"/>
      <c r="AB92" s="10"/>
      <c r="AC92" s="10" t="n">
        <v>7.63</v>
      </c>
      <c r="AD92" s="10" t="n">
        <v>-64.54</v>
      </c>
      <c r="AE92" s="10" t="n">
        <v>56.25</v>
      </c>
      <c r="AF92" s="10" t="n">
        <v>21.9</v>
      </c>
      <c r="AG92" s="10" t="n">
        <v>-6.31</v>
      </c>
      <c r="AH92" s="10" t="s">
        <v>377</v>
      </c>
      <c r="AI92" s="10" t="n">
        <v>0.58</v>
      </c>
      <c r="AJ92" s="10" t="n">
        <v>-20.99</v>
      </c>
      <c r="AK92" s="10" t="n">
        <v>6.88</v>
      </c>
      <c r="AL92" s="10" t="n">
        <v>6.9</v>
      </c>
      <c r="AM92" s="10" t="n">
        <v>-6294.24</v>
      </c>
      <c r="AN92" s="10" t="n">
        <v>-63.56</v>
      </c>
      <c r="AO92" s="10" t="n">
        <v>2.77</v>
      </c>
      <c r="AP92" s="10" t="n">
        <v>-0.03</v>
      </c>
      <c r="AQ92" s="10" t="n">
        <v>8.77</v>
      </c>
      <c r="AR92" s="10" t="n">
        <v>300</v>
      </c>
      <c r="AS92" s="16" t="n">
        <v>46275</v>
      </c>
      <c r="AT92" s="15" t="n">
        <v>498347008</v>
      </c>
      <c r="AU92" s="15" t="n">
        <v>336887008</v>
      </c>
      <c r="AV92" s="10" t="n">
        <v>67.6</v>
      </c>
      <c r="AW92" s="15" t="n">
        <v>-31367133184</v>
      </c>
      <c r="AX92" s="15" t="n">
        <v>-22587523072</v>
      </c>
      <c r="AY92" s="10" t="n">
        <v>-4532.49</v>
      </c>
      <c r="AZ92" s="15" t="n">
        <v>-4322795008</v>
      </c>
      <c r="BA92" s="10" t="n">
        <v>58.29</v>
      </c>
      <c r="BB92" s="10" t="n">
        <v>16.83</v>
      </c>
      <c r="BC92" s="17" t="n">
        <f aca="false">IF(AND(ISNUMBER(O92),ISNUMBER(AS92)),O92-AS92,"")</f>
        <v>49</v>
      </c>
      <c r="BD92" s="10" t="n">
        <f aca="false">IF(OR(ISNUMBER(SEARCH("ETF",H92)),AND(F92="",AO92="")),1,0)</f>
        <v>0</v>
      </c>
      <c r="BE92" s="17" t="n">
        <f aca="false">IF(ISNUMBER(L92),IF(L92&gt;=Parameters!$B$3,2,IF(L92&gt;=Parameters!$B$4,1,0)),0)+IF(ISNUMBER(AW92),IF(AW92&gt;0,IF(AND(ISNUMBER(AM92),AM92&gt;=Parameters!$B$5),2,1),0),0)+IF(ISNUMBER(AX92),IF(AND(AX92&gt;0,ISNUMBER(AY92),AY92&gt;=Parameters!$B$6),1,0),0)+IF(ISNUMBER(AO92),IF(AND(AO92&gt;0,AO92&lt;=Parameters!$B$7),1,0),0)+IF(ISNUMBER(F92),IF(F92&gt;=Parameters!$B$8,1,0),0)</f>
        <v>2</v>
      </c>
      <c r="BF92" s="10" t="str">
        <f aca="false">IF(BD92=1,"ETF",IF(OR(AND(ISNUMBER(L92),L92&gt;=Parameters!$B$10),BE92&gt;=Parameters!$B$9),"Established","Early"))</f>
        <v>Early</v>
      </c>
      <c r="BG92" s="10" t="n">
        <f aca="false">IF(LEFT(AH92,6)="Golden",2,IF(LEFT(AH92,5)="Death",-2,0))</f>
        <v>-2</v>
      </c>
      <c r="BH92" s="10" t="n">
        <f aca="false">IF(ISNUMBER(AG92),IF(AG92&gt;Parameters!$B$12,2,IF(AG92&gt;0,1,IF(AG92&gt;=Parameters!$B$13,-1,-2))),0)</f>
        <v>-1</v>
      </c>
      <c r="BI92" s="10" t="n">
        <f aca="false">IF(ISNUMBER(AF92),IF(AND(AF92&gt;=Parameters!$B$14,AF92&lt;=Parameters!$B$15),1,IF(OR(AF92&gt;Parameters!$B$16,AF92&lt;Parameters!$B$17),-1,0)),0)</f>
        <v>-1</v>
      </c>
      <c r="BJ92" s="10" t="n">
        <f aca="false">IF(ISNUMBER(AE92),IF(AND(AE92&gt;=Parameters!$B$18,AE92&lt;=Parameters!$B$19),1,IF(OR(AE92&gt;Parameters!$B$20,AE92&lt;Parameters!$B$21),-1,0)),0)</f>
        <v>1</v>
      </c>
      <c r="BK92" s="10" t="n">
        <f aca="false">IF(ISNUMBER(E92),IF(E92&gt;Parameters!$B$22,1,IF(E92&lt;Parameters!$B$23,-1,0)),0)</f>
        <v>1</v>
      </c>
      <c r="BL92" s="10" t="n">
        <f aca="false">IF(ISNUMBER(C92),IF(C92&gt;=Parameters!$B$24,1,IF(C92&lt;=Parameters!$B$25,-1,0)),0)</f>
        <v>-1</v>
      </c>
      <c r="BM92" s="10" t="n">
        <f aca="false">IF(ISNUMBER(AJ92),IF(AND(AJ92&gt;Parameters!$B$26,ISNUMBER(U92)),IF(U92&lt;0,-1,1),0),0)</f>
        <v>0</v>
      </c>
      <c r="BN92" s="10" t="n">
        <f aca="false">IF(ISNUMBER(AD92),IF(AD92&gt;Parameters!$B$27,1,IF(AD92&lt;Parameters!$B$28,-1,0)),0)</f>
        <v>-1</v>
      </c>
      <c r="BO92" s="17" t="n">
        <f aca="false">BG92+BH92+BI92+BJ92+BK92+BL92+BM92+BN92</f>
        <v>-4</v>
      </c>
      <c r="BP92" s="10" t="n">
        <f aca="false">IF(ISNUMBER(F92),IF(F92&gt;=Parameters!$B$30,2,IF(F92&gt;=Parameters!$B$31,1,IF(F92&lt;=Parameters!$B$32,-1,0))),0)</f>
        <v>-1</v>
      </c>
      <c r="BQ92" s="10" t="n">
        <f aca="false">IF(ISNUMBER(AK92),IF(AK92&gt;Parameters!$B$33,1,IF(AK92&lt;0,-1,0)),0)</f>
        <v>0</v>
      </c>
      <c r="BR92" s="10" t="n">
        <f aca="false">IF(ISNUMBER(AL92),IF(AL92&gt;Parameters!$B$34,1,IF(AL92&lt;0,-1,0)),0)</f>
        <v>0</v>
      </c>
      <c r="BS92" s="10" t="n">
        <f aca="false">IF(ISNUMBER(AP92),IF(AND(AP92&gt;0,AP92&lt;=Parameters!$B$35),1,IF(AP92&gt;Parameters!$B$36,-1,0)),0)</f>
        <v>0</v>
      </c>
      <c r="BT92" s="10" t="n">
        <f aca="false">IF(ISNUMBER(AY92),IF(AY92&gt;Parameters!$B$37,1,IF(AY92&lt;0,-1,0)),0)</f>
        <v>-1</v>
      </c>
      <c r="BU92" s="10" t="n">
        <f aca="false">IF(ISNUMBER(AZ92),IF(AZ92&gt;0,1,0),0)</f>
        <v>0</v>
      </c>
      <c r="BV92" s="10" t="n">
        <f aca="false">IF(ISNUMBER(AL92),IF(AL92&gt;Parameters!$B$39,2,IF(AL92&gt;Parameters!$B$40,1,IF(AL92&lt;0,-2,IF(AL92&lt;Parameters!$B$41,-1,0)))),0)</f>
        <v>0</v>
      </c>
      <c r="BW92" s="10" t="n">
        <f aca="false">IF(ISNUMBER(AV92),IF(AV92&gt;Parameters!$B$42,1,IF(AV92&lt;Parameters!$B$43,-1,0)),0)</f>
        <v>1</v>
      </c>
      <c r="BX92" s="10" t="n">
        <f aca="false">IF(AND(ISNUMBER(AX92),AX92&gt;0),1,IF(AND(ISNUMBER(AY92),AY92&lt;Parameters!$B$44),-1,0))</f>
        <v>-1</v>
      </c>
      <c r="BY92" s="10" t="n">
        <f aca="false">IF(ISNUMBER(AW92),IF(AW92&gt;0,1,0),0)</f>
        <v>0</v>
      </c>
      <c r="BZ92" s="10" t="n">
        <f aca="false">IF(ISNUMBER(AQ92),IF(AQ92&gt;Parameters!$B$46,-2,IF(AQ92&gt;Parameters!$B$45,-1,0)),0)</f>
        <v>0</v>
      </c>
      <c r="CA92" s="10" t="n">
        <f aca="false">IF(ISNUMBER(F92),IF(F92&gt;=Parameters!$B$47,1,IF(F92&lt;=Parameters!$B$48,-1,0)),0)</f>
        <v>-1</v>
      </c>
      <c r="CB92" s="17" t="n">
        <f aca="false">IF(BF92="Established",BP92+BQ92+BR92+BS92+BT92+BU92,IF(BF92="Early",BV92+BW92+BX92+BY92+BZ92+CA92,0))</f>
        <v>-1</v>
      </c>
      <c r="CC92" s="18" t="n">
        <f aca="false">IF(BF92="Established",BO92+CB92,IF(BF92="Early",BO92+Parameters!$B$50*CB92,BO92))</f>
        <v>-4.5</v>
      </c>
      <c r="CD92" s="17" t="n">
        <f aca="false">IF(BF92="Established",IF(CC92&gt;=Parameters!$B$51,6,IF(CC92&gt;=Parameters!$B$52,5,IF(CC92&gt;=Parameters!$B$53,4,IF(CC92&gt;=Parameters!$B$54,3,IF(CC92&gt;=Parameters!$B$55,2,1))))),IF(BF92="Early",IF(CC92&gt;=Parameters!$B$56,5,IF(CC92&gt;=Parameters!$B$57,4,IF(CC92&gt;=Parameters!$B$58,3,IF(CC92&gt;=Parameters!$B$59,2,1)))),IF(CC92&gt;=Parameters!$B$60,6,IF(CC92&gt;=Parameters!$B$61,5,IF(CC92&gt;=Parameters!$B$62,4,IF(CC92&gt;=Parameters!$B$63,3,IF(CC92&gt;=Parameters!$B$64,2,1)))))))</f>
        <v>1</v>
      </c>
      <c r="CE92" s="10" t="n">
        <f aca="false">IF(AND(ISNUMBER(AR92),AR92&lt;Parameters!$B$66),1,0)</f>
        <v>0</v>
      </c>
      <c r="CF92" s="10" t="n">
        <f aca="false">IF(AND(LEFT(AH92,5)="Death",ISNUMBER(AG92)),IF(BF92="Early",IF(AND(AG92&lt;Parameters!$B$70,ISNUMBER(U92),U92&lt;Parameters!$B$71),1,0),IF(AND(AG92&lt;Parameters!$B$67,OR(AND(ISNUMBER(U92),U92&lt;Parameters!$B$68),AND(ISNUMBER(V92),V92&lt;Parameters!$B$69))),1,0)),0)</f>
        <v>0</v>
      </c>
      <c r="CG92" s="10" t="n">
        <f aca="false">IF(AND(ISNUMBER(AG92),AG92&lt;0),1,0)</f>
        <v>1</v>
      </c>
      <c r="CH92" s="10" t="n">
        <f aca="false">IF(OR(AND(ISNUMBER(U92),U92&gt;Parameters!$B$74),AND(ISNUMBER(AF92),AF92&gt;Parameters!$B$75),AND(ISNUMBER(AE92),AE92&gt;Parameters!$B$76)),1,0)</f>
        <v>1</v>
      </c>
      <c r="CI92" s="10" t="n">
        <f aca="false">IF(AND(ISNUMBER(BC92),BC92&gt;=0,BC92&lt;=Parameters!$B$77),1,0)</f>
        <v>0</v>
      </c>
      <c r="CJ92" s="17" t="n">
        <f aca="false">IF(CF92=1,1,MIN(CD92,IF(CE92=1,3,6),IF(CG92=1,IF(BF92="Early",Parameters!$B$73,Parameters!$B$72),6),IF(CH92=1,3,6),IF(CI92=1,3,6)))</f>
        <v>1</v>
      </c>
      <c r="CK92" s="10" t="str">
        <f aca="false">INDEX(Parameters!$F$2:$F$7,CJ92)</f>
        <v>Sell Immediately</v>
      </c>
      <c r="CL92" s="10" t="str">
        <f aca="false">IF(CF92=1,"Hard sell: breakdown; ","")&amp;IF(CE92=1,"Insufficient history; ","")&amp;IF(AND(CF92=0,CG92=1),"Below 200D; ","")&amp;IF(CH92=1,"Extended - wait for pullback; ","")&amp;IF(CI92=1,"Earnings within "&amp;Parameters!$B$77&amp;"d; ","")</f>
        <v>Below 200D; Extended - wait for pullback; </v>
      </c>
    </row>
    <row r="93" customFormat="false" ht="15" hidden="false" customHeight="false" outlineLevel="0" collapsed="false">
      <c r="A93" s="10" t="s">
        <v>533</v>
      </c>
      <c r="B93" s="10" t="n">
        <v>3</v>
      </c>
      <c r="C93" s="10" t="n">
        <v>3</v>
      </c>
      <c r="D93" s="10" t="n">
        <v>25.1</v>
      </c>
      <c r="E93" s="10" t="n">
        <v>-5.3</v>
      </c>
      <c r="F93" s="10" t="n">
        <v>2</v>
      </c>
      <c r="G93" s="10" t="s">
        <v>534</v>
      </c>
      <c r="H93" s="10" t="s">
        <v>349</v>
      </c>
      <c r="I93" s="10" t="n">
        <v>6.82</v>
      </c>
      <c r="J93" s="10" t="s">
        <v>295</v>
      </c>
      <c r="K93" s="10" t="s">
        <v>366</v>
      </c>
      <c r="L93" s="15" t="n">
        <v>799957636</v>
      </c>
      <c r="M93" s="16" t="n">
        <v>46240</v>
      </c>
      <c r="N93" s="10" t="n">
        <v>25</v>
      </c>
      <c r="O93" s="16" t="n">
        <v>46331</v>
      </c>
      <c r="P93" s="10" t="s">
        <v>297</v>
      </c>
      <c r="Q93" s="10" t="n">
        <v>1.41</v>
      </c>
      <c r="R93" s="10" t="n">
        <v>-3.31</v>
      </c>
      <c r="S93" s="10" t="n">
        <v>1.26</v>
      </c>
      <c r="T93" s="10" t="n">
        <v>-0.51</v>
      </c>
      <c r="U93" s="10" t="n">
        <v>26.44</v>
      </c>
      <c r="V93" s="10" t="n">
        <v>-20.76</v>
      </c>
      <c r="W93" s="10" t="n">
        <v>21.26</v>
      </c>
      <c r="X93" s="10" t="n">
        <v>-21.49</v>
      </c>
      <c r="Y93" s="10"/>
      <c r="Z93" s="10"/>
      <c r="AA93" s="10"/>
      <c r="AB93" s="10"/>
      <c r="AC93" s="10" t="n">
        <v>-25.4</v>
      </c>
      <c r="AD93" s="10" t="n">
        <v>-35.89</v>
      </c>
      <c r="AE93" s="10" t="n">
        <v>52.85</v>
      </c>
      <c r="AF93" s="10" t="n">
        <v>1.61</v>
      </c>
      <c r="AG93" s="10" t="n">
        <v>-0.03</v>
      </c>
      <c r="AH93" s="10" t="s">
        <v>535</v>
      </c>
      <c r="AI93" s="10" t="n">
        <v>0.04</v>
      </c>
      <c r="AJ93" s="10" t="n">
        <v>-31.46</v>
      </c>
      <c r="AK93" s="10" t="n">
        <v>3.81</v>
      </c>
      <c r="AL93" s="10" t="n">
        <v>3.8</v>
      </c>
      <c r="AM93" s="10" t="n">
        <v>2.01</v>
      </c>
      <c r="AN93" s="10" t="n">
        <v>3.07</v>
      </c>
      <c r="AO93" s="10" t="n">
        <v>-10.28</v>
      </c>
      <c r="AP93" s="10" t="n">
        <v>7.72</v>
      </c>
      <c r="AQ93" s="10" t="n">
        <v>23.17</v>
      </c>
      <c r="AR93" s="10" t="n">
        <v>300</v>
      </c>
      <c r="AS93" s="16" t="n">
        <v>46275</v>
      </c>
      <c r="AT93" s="15" t="n">
        <v>681769984</v>
      </c>
      <c r="AU93" s="15" t="n">
        <v>86897000</v>
      </c>
      <c r="AV93" s="10" t="n">
        <v>12.75</v>
      </c>
      <c r="AW93" s="15" t="n">
        <v>13671000</v>
      </c>
      <c r="AX93" s="15" t="n">
        <v>-61834752</v>
      </c>
      <c r="AY93" s="10" t="n">
        <v>-9.07</v>
      </c>
      <c r="AZ93" s="15" t="n">
        <v>-212764000</v>
      </c>
      <c r="BA93" s="10" t="n">
        <v>51.78</v>
      </c>
      <c r="BB93" s="10" t="n">
        <v>37.87</v>
      </c>
      <c r="BC93" s="17" t="n">
        <f aca="false">IF(AND(ISNUMBER(O93),ISNUMBER(AS93)),O93-AS93,"")</f>
        <v>56</v>
      </c>
      <c r="BD93" s="10" t="n">
        <f aca="false">IF(OR(ISNUMBER(SEARCH("ETF",H93)),AND(F93="",AO93="")),1,0)</f>
        <v>0</v>
      </c>
      <c r="BE93" s="17" t="n">
        <f aca="false">IF(ISNUMBER(L93),IF(L93&gt;=Parameters!$B$3,2,IF(L93&gt;=Parameters!$B$4,1,0)),0)+IF(ISNUMBER(AW93),IF(AW93&gt;0,IF(AND(ISNUMBER(AM93),AM93&gt;=Parameters!$B$5),2,1),0),0)+IF(ISNUMBER(AX93),IF(AND(AX93&gt;0,ISNUMBER(AY93),AY93&gt;=Parameters!$B$6),1,0),0)+IF(ISNUMBER(AO93),IF(AND(AO93&gt;0,AO93&lt;=Parameters!$B$7),1,0),0)+IF(ISNUMBER(F93),IF(F93&gt;=Parameters!$B$8,1,0),0)</f>
        <v>1</v>
      </c>
      <c r="BF93" s="10" t="str">
        <f aca="false">IF(BD93=1,"ETF",IF(OR(AND(ISNUMBER(L93),L93&gt;=Parameters!$B$10),BE93&gt;=Parameters!$B$9),"Established","Early"))</f>
        <v>Early</v>
      </c>
      <c r="BG93" s="10" t="n">
        <f aca="false">IF(LEFT(AH93,6)="Golden",2,IF(LEFT(AH93,5)="Death",-2,0))</f>
        <v>-2</v>
      </c>
      <c r="BH93" s="10" t="n">
        <f aca="false">IF(ISNUMBER(AG93),IF(AG93&gt;Parameters!$B$12,2,IF(AG93&gt;0,1,IF(AG93&gt;=Parameters!$B$13,-1,-2))),0)</f>
        <v>-1</v>
      </c>
      <c r="BI93" s="10" t="n">
        <f aca="false">IF(ISNUMBER(AF93),IF(AND(AF93&gt;=Parameters!$B$14,AF93&lt;=Parameters!$B$15),1,IF(OR(AF93&gt;Parameters!$B$16,AF93&lt;Parameters!$B$17),-1,0)),0)</f>
        <v>1</v>
      </c>
      <c r="BJ93" s="10" t="n">
        <f aca="false">IF(ISNUMBER(AE93),IF(AND(AE93&gt;=Parameters!$B$18,AE93&lt;=Parameters!$B$19),1,IF(OR(AE93&gt;Parameters!$B$20,AE93&lt;Parameters!$B$21),-1,0)),0)</f>
        <v>1</v>
      </c>
      <c r="BK93" s="10" t="n">
        <f aca="false">IF(ISNUMBER(E93),IF(E93&gt;Parameters!$B$22,1,IF(E93&lt;Parameters!$B$23,-1,0)),0)</f>
        <v>-1</v>
      </c>
      <c r="BL93" s="10" t="n">
        <f aca="false">IF(ISNUMBER(C93),IF(C93&gt;=Parameters!$B$24,1,IF(C93&lt;=Parameters!$B$25,-1,0)),0)</f>
        <v>-1</v>
      </c>
      <c r="BM93" s="10" t="n">
        <f aca="false">IF(ISNUMBER(AJ93),IF(AND(AJ93&gt;Parameters!$B$26,ISNUMBER(U93)),IF(U93&lt;0,-1,1),0),0)</f>
        <v>0</v>
      </c>
      <c r="BN93" s="10" t="n">
        <f aca="false">IF(ISNUMBER(AD93),IF(AD93&gt;Parameters!$B$27,1,IF(AD93&lt;Parameters!$B$28,-1,0)),0)</f>
        <v>-1</v>
      </c>
      <c r="BO93" s="17" t="n">
        <f aca="false">BG93+BH93+BI93+BJ93+BK93+BL93+BM93+BN93</f>
        <v>-4</v>
      </c>
      <c r="BP93" s="10" t="n">
        <f aca="false">IF(ISNUMBER(F93),IF(F93&gt;=Parameters!$B$30,2,IF(F93&gt;=Parameters!$B$31,1,IF(F93&lt;=Parameters!$B$32,-1,0))),0)</f>
        <v>-1</v>
      </c>
      <c r="BQ93" s="10" t="n">
        <f aca="false">IF(ISNUMBER(AK93),IF(AK93&gt;Parameters!$B$33,1,IF(AK93&lt;0,-1,0)),0)</f>
        <v>0</v>
      </c>
      <c r="BR93" s="10" t="n">
        <f aca="false">IF(ISNUMBER(AL93),IF(AL93&gt;Parameters!$B$34,1,IF(AL93&lt;0,-1,0)),0)</f>
        <v>0</v>
      </c>
      <c r="BS93" s="10" t="n">
        <f aca="false">IF(ISNUMBER(AP93),IF(AND(AP93&gt;0,AP93&lt;=Parameters!$B$35),1,IF(AP93&gt;Parameters!$B$36,-1,0)),0)</f>
        <v>-1</v>
      </c>
      <c r="BT93" s="10" t="n">
        <f aca="false">IF(ISNUMBER(AY93),IF(AY93&gt;Parameters!$B$37,1,IF(AY93&lt;0,-1,0)),0)</f>
        <v>-1</v>
      </c>
      <c r="BU93" s="10" t="n">
        <f aca="false">IF(ISNUMBER(AZ93),IF(AZ93&gt;0,1,0),0)</f>
        <v>0</v>
      </c>
      <c r="BV93" s="10" t="n">
        <f aca="false">IF(ISNUMBER(AL93),IF(AL93&gt;Parameters!$B$39,2,IF(AL93&gt;Parameters!$B$40,1,IF(AL93&lt;0,-2,IF(AL93&lt;Parameters!$B$41,-1,0)))),0)</f>
        <v>-1</v>
      </c>
      <c r="BW93" s="10" t="n">
        <f aca="false">IF(ISNUMBER(AV93),IF(AV93&gt;Parameters!$B$42,1,IF(AV93&lt;Parameters!$B$43,-1,0)),0)</f>
        <v>-1</v>
      </c>
      <c r="BX93" s="10" t="n">
        <f aca="false">IF(AND(ISNUMBER(AX93),AX93&gt;0),1,IF(AND(ISNUMBER(AY93),AY93&lt;Parameters!$B$44),-1,0))</f>
        <v>0</v>
      </c>
      <c r="BY93" s="10" t="n">
        <f aca="false">IF(ISNUMBER(AW93),IF(AW93&gt;0,1,0),0)</f>
        <v>1</v>
      </c>
      <c r="BZ93" s="10" t="n">
        <f aca="false">IF(ISNUMBER(AQ93),IF(AQ93&gt;Parameters!$B$46,-2,IF(AQ93&gt;Parameters!$B$45,-1,0)),0)</f>
        <v>-1</v>
      </c>
      <c r="CA93" s="10" t="n">
        <f aca="false">IF(ISNUMBER(F93),IF(F93&gt;=Parameters!$B$47,1,IF(F93&lt;=Parameters!$B$48,-1,0)),0)</f>
        <v>-1</v>
      </c>
      <c r="CB93" s="17" t="n">
        <f aca="false">IF(BF93="Established",BP93+BQ93+BR93+BS93+BT93+BU93,IF(BF93="Early",BV93+BW93+BX93+BY93+BZ93+CA93,0))</f>
        <v>-3</v>
      </c>
      <c r="CC93" s="18" t="n">
        <f aca="false">IF(BF93="Established",BO93+CB93,IF(BF93="Early",BO93+Parameters!$B$50*CB93,BO93))</f>
        <v>-5.5</v>
      </c>
      <c r="CD93" s="17" t="n">
        <f aca="false">IF(BF93="Established",IF(CC93&gt;=Parameters!$B$51,6,IF(CC93&gt;=Parameters!$B$52,5,IF(CC93&gt;=Parameters!$B$53,4,IF(CC93&gt;=Parameters!$B$54,3,IF(CC93&gt;=Parameters!$B$55,2,1))))),IF(BF93="Early",IF(CC93&gt;=Parameters!$B$56,5,IF(CC93&gt;=Parameters!$B$57,4,IF(CC93&gt;=Parameters!$B$58,3,IF(CC93&gt;=Parameters!$B$59,2,1)))),IF(CC93&gt;=Parameters!$B$60,6,IF(CC93&gt;=Parameters!$B$61,5,IF(CC93&gt;=Parameters!$B$62,4,IF(CC93&gt;=Parameters!$B$63,3,IF(CC93&gt;=Parameters!$B$64,2,1)))))))</f>
        <v>1</v>
      </c>
      <c r="CE93" s="10" t="n">
        <f aca="false">IF(AND(ISNUMBER(AR93),AR93&lt;Parameters!$B$66),1,0)</f>
        <v>0</v>
      </c>
      <c r="CF93" s="10" t="n">
        <f aca="false">IF(AND(LEFT(AH93,5)="Death",ISNUMBER(AG93)),IF(BF93="Early",IF(AND(AG93&lt;Parameters!$B$70,ISNUMBER(U93),U93&lt;Parameters!$B$71),1,0),IF(AND(AG93&lt;Parameters!$B$67,OR(AND(ISNUMBER(U93),U93&lt;Parameters!$B$68),AND(ISNUMBER(V93),V93&lt;Parameters!$B$69))),1,0)),0)</f>
        <v>0</v>
      </c>
      <c r="CG93" s="10" t="n">
        <f aca="false">IF(AND(ISNUMBER(AG93),AG93&lt;0),1,0)</f>
        <v>1</v>
      </c>
      <c r="CH93" s="10" t="n">
        <f aca="false">IF(OR(AND(ISNUMBER(U93),U93&gt;Parameters!$B$74),AND(ISNUMBER(AF93),AF93&gt;Parameters!$B$75),AND(ISNUMBER(AE93),AE93&gt;Parameters!$B$76)),1,0)</f>
        <v>1</v>
      </c>
      <c r="CI93" s="10" t="n">
        <f aca="false">IF(AND(ISNUMBER(BC93),BC93&gt;=0,BC93&lt;=Parameters!$B$77),1,0)</f>
        <v>0</v>
      </c>
      <c r="CJ93" s="17" t="n">
        <f aca="false">IF(CF93=1,1,MIN(CD93,IF(CE93=1,3,6),IF(CG93=1,IF(BF93="Early",Parameters!$B$73,Parameters!$B$72),6),IF(CH93=1,3,6),IF(CI93=1,3,6)))</f>
        <v>1</v>
      </c>
      <c r="CK93" s="10" t="str">
        <f aca="false">INDEX(Parameters!$F$2:$F$7,CJ93)</f>
        <v>Sell Immediately</v>
      </c>
      <c r="CL93" s="10" t="str">
        <f aca="false">IF(CF93=1,"Hard sell: breakdown; ","")&amp;IF(CE93=1,"Insufficient history; ","")&amp;IF(AND(CF93=0,CG93=1),"Below 200D; ","")&amp;IF(CH93=1,"Extended - wait for pullback; ","")&amp;IF(CI93=1,"Earnings within "&amp;Parameters!$B$77&amp;"d; ","")</f>
        <v>Below 200D; Extended - wait for pullback; </v>
      </c>
    </row>
    <row r="94" customFormat="false" ht="15" hidden="false" customHeight="false" outlineLevel="0" collapsed="false">
      <c r="A94" s="10" t="s">
        <v>536</v>
      </c>
      <c r="B94" s="10" t="n">
        <v>2</v>
      </c>
      <c r="C94" s="10" t="n">
        <v>2</v>
      </c>
      <c r="D94" s="10" t="n">
        <v>15.9</v>
      </c>
      <c r="E94" s="10" t="n">
        <v>-1.7</v>
      </c>
      <c r="F94" s="10"/>
      <c r="G94" s="10" t="s">
        <v>537</v>
      </c>
      <c r="H94" s="10" t="s">
        <v>363</v>
      </c>
      <c r="I94" s="10" t="n">
        <v>24.56</v>
      </c>
      <c r="J94" s="10" t="s">
        <v>295</v>
      </c>
      <c r="K94" s="10"/>
      <c r="L94" s="15"/>
      <c r="M94" s="16" t="n">
        <v>46171</v>
      </c>
      <c r="N94" s="10" t="n">
        <v>24.32</v>
      </c>
      <c r="O94" s="16" t="n">
        <v>46262</v>
      </c>
      <c r="P94" s="10" t="s">
        <v>297</v>
      </c>
      <c r="Q94" s="10" t="n">
        <v>-0.89</v>
      </c>
      <c r="R94" s="10" t="n">
        <v>-2.29</v>
      </c>
      <c r="S94" s="10" t="n">
        <v>-4.44</v>
      </c>
      <c r="T94" s="10" t="n">
        <v>-6.54</v>
      </c>
      <c r="U94" s="10" t="n">
        <v>-12.57</v>
      </c>
      <c r="V94" s="10" t="n">
        <v>-7.11</v>
      </c>
      <c r="W94" s="10" t="n">
        <v>-19.45</v>
      </c>
      <c r="X94" s="10" t="n">
        <v>-38.55</v>
      </c>
      <c r="Y94" s="10"/>
      <c r="Z94" s="10"/>
      <c r="AA94" s="10"/>
      <c r="AB94" s="10"/>
      <c r="AC94" s="10" t="n">
        <v>-11.75</v>
      </c>
      <c r="AD94" s="10" t="n">
        <v>-43.36</v>
      </c>
      <c r="AE94" s="10" t="n">
        <v>30.79</v>
      </c>
      <c r="AF94" s="10" t="n">
        <v>-8.17</v>
      </c>
      <c r="AG94" s="10" t="n">
        <v>-18.6</v>
      </c>
      <c r="AH94" s="10" t="s">
        <v>377</v>
      </c>
      <c r="AI94" s="10" t="n">
        <v>-0.17</v>
      </c>
      <c r="AJ94" s="10" t="n">
        <v>-29.6</v>
      </c>
      <c r="AK94" s="10"/>
      <c r="AL94" s="10"/>
      <c r="AM94" s="10"/>
      <c r="AN94" s="10"/>
      <c r="AO94" s="10"/>
      <c r="AP94" s="10"/>
      <c r="AQ94" s="10"/>
      <c r="AR94" s="10" t="n">
        <v>300</v>
      </c>
      <c r="AS94" s="16" t="n">
        <v>46275</v>
      </c>
      <c r="AT94" s="15" t="n">
        <v>0</v>
      </c>
      <c r="AU94" s="15" t="n">
        <v>0</v>
      </c>
      <c r="AV94" s="10"/>
      <c r="AW94" s="15" t="n">
        <v>0</v>
      </c>
      <c r="AX94" s="15" t="n">
        <v>0</v>
      </c>
      <c r="AY94" s="10"/>
      <c r="AZ94" s="15" t="n">
        <v>0</v>
      </c>
      <c r="BA94" s="10" t="n">
        <v>5.73</v>
      </c>
      <c r="BB94" s="10" t="n">
        <v>6.61</v>
      </c>
      <c r="BC94" s="17" t="n">
        <f aca="false">IF(AND(ISNUMBER(O94),ISNUMBER(AS94)),O94-AS94,"")</f>
        <v>-13</v>
      </c>
      <c r="BD94" s="10" t="n">
        <f aca="false">IF(OR(ISNUMBER(SEARCH("ETF",H94)),AND(F94="",AO94="")),1,0)</f>
        <v>1</v>
      </c>
      <c r="BE94" s="17" t="n">
        <f aca="false">IF(ISNUMBER(L94),IF(L94&gt;=Parameters!$B$3,2,IF(L94&gt;=Parameters!$B$4,1,0)),0)+IF(ISNUMBER(AW94),IF(AW94&gt;0,IF(AND(ISNUMBER(AM94),AM94&gt;=Parameters!$B$5),2,1),0),0)+IF(ISNUMBER(AX94),IF(AND(AX94&gt;0,ISNUMBER(AY94),AY94&gt;=Parameters!$B$6),1,0),0)+IF(ISNUMBER(AO94),IF(AND(AO94&gt;0,AO94&lt;=Parameters!$B$7),1,0),0)+IF(ISNUMBER(F94),IF(F94&gt;=Parameters!$B$8,1,0),0)</f>
        <v>0</v>
      </c>
      <c r="BF94" s="10" t="str">
        <f aca="false">IF(BD94=1,"ETF",IF(OR(AND(ISNUMBER(L94),L94&gt;=Parameters!$B$10),BE94&gt;=Parameters!$B$9),"Established","Early"))</f>
        <v>ETF</v>
      </c>
      <c r="BG94" s="10" t="n">
        <f aca="false">IF(LEFT(AH94,6)="Golden",2,IF(LEFT(AH94,5)="Death",-2,0))</f>
        <v>-2</v>
      </c>
      <c r="BH94" s="10" t="n">
        <f aca="false">IF(ISNUMBER(AG94),IF(AG94&gt;Parameters!$B$12,2,IF(AG94&gt;0,1,IF(AG94&gt;=Parameters!$B$13,-1,-2))),0)</f>
        <v>-2</v>
      </c>
      <c r="BI94" s="10" t="n">
        <f aca="false">IF(ISNUMBER(AF94),IF(AND(AF94&gt;=Parameters!$B$14,AF94&lt;=Parameters!$B$15),1,IF(OR(AF94&gt;Parameters!$B$16,AF94&lt;Parameters!$B$17),-1,0)),0)</f>
        <v>-1</v>
      </c>
      <c r="BJ94" s="10" t="n">
        <f aca="false">IF(ISNUMBER(AE94),IF(AND(AE94&gt;=Parameters!$B$18,AE94&lt;=Parameters!$B$19),1,IF(OR(AE94&gt;Parameters!$B$20,AE94&lt;Parameters!$B$21),-1,0)),0)</f>
        <v>-1</v>
      </c>
      <c r="BK94" s="10" t="n">
        <f aca="false">IF(ISNUMBER(E94),IF(E94&gt;Parameters!$B$22,1,IF(E94&lt;Parameters!$B$23,-1,0)),0)</f>
        <v>0</v>
      </c>
      <c r="BL94" s="10" t="n">
        <f aca="false">IF(ISNUMBER(C94),IF(C94&gt;=Parameters!$B$24,1,IF(C94&lt;=Parameters!$B$25,-1,0)),0)</f>
        <v>-1</v>
      </c>
      <c r="BM94" s="10" t="n">
        <f aca="false">IF(ISNUMBER(AJ94),IF(AND(AJ94&gt;Parameters!$B$26,ISNUMBER(U94)),IF(U94&lt;0,-1,1),0),0)</f>
        <v>0</v>
      </c>
      <c r="BN94" s="10" t="n">
        <f aca="false">IF(ISNUMBER(AD94),IF(AD94&gt;Parameters!$B$27,1,IF(AD94&lt;Parameters!$B$28,-1,0)),0)</f>
        <v>-1</v>
      </c>
      <c r="BO94" s="17" t="n">
        <f aca="false">BG94+BH94+BI94+BJ94+BK94+BL94+BM94+BN94</f>
        <v>-8</v>
      </c>
      <c r="BP94" s="10" t="n">
        <f aca="false">IF(ISNUMBER(F94),IF(F94&gt;=Parameters!$B$30,2,IF(F94&gt;=Parameters!$B$31,1,IF(F94&lt;=Parameters!$B$32,-1,0))),0)</f>
        <v>0</v>
      </c>
      <c r="BQ94" s="10" t="n">
        <f aca="false">IF(ISNUMBER(AK94),IF(AK94&gt;Parameters!$B$33,1,IF(AK94&lt;0,-1,0)),0)</f>
        <v>0</v>
      </c>
      <c r="BR94" s="10" t="n">
        <f aca="false">IF(ISNUMBER(AL94),IF(AL94&gt;Parameters!$B$34,1,IF(AL94&lt;0,-1,0)),0)</f>
        <v>0</v>
      </c>
      <c r="BS94" s="10" t="n">
        <f aca="false">IF(ISNUMBER(AP94),IF(AND(AP94&gt;0,AP94&lt;=Parameters!$B$35),1,IF(AP94&gt;Parameters!$B$36,-1,0)),0)</f>
        <v>0</v>
      </c>
      <c r="BT94" s="10" t="n">
        <f aca="false">IF(ISNUMBER(AY94),IF(AY94&gt;Parameters!$B$37,1,IF(AY94&lt;0,-1,0)),0)</f>
        <v>0</v>
      </c>
      <c r="BU94" s="10" t="n">
        <f aca="false">IF(ISNUMBER(AZ94),IF(AZ94&gt;0,1,0),0)</f>
        <v>0</v>
      </c>
      <c r="BV94" s="10" t="n">
        <f aca="false">IF(ISNUMBER(AL94),IF(AL94&gt;Parameters!$B$39,2,IF(AL94&gt;Parameters!$B$40,1,IF(AL94&lt;0,-2,IF(AL94&lt;Parameters!$B$41,-1,0)))),0)</f>
        <v>0</v>
      </c>
      <c r="BW94" s="10" t="n">
        <f aca="false">IF(ISNUMBER(AV94),IF(AV94&gt;Parameters!$B$42,1,IF(AV94&lt;Parameters!$B$43,-1,0)),0)</f>
        <v>0</v>
      </c>
      <c r="BX94" s="10" t="n">
        <f aca="false">IF(AND(ISNUMBER(AX94),AX94&gt;0),1,IF(AND(ISNUMBER(AY94),AY94&lt;Parameters!$B$44),-1,0))</f>
        <v>0</v>
      </c>
      <c r="BY94" s="10" t="n">
        <f aca="false">IF(ISNUMBER(AW94),IF(AW94&gt;0,1,0),0)</f>
        <v>0</v>
      </c>
      <c r="BZ94" s="10" t="n">
        <f aca="false">IF(ISNUMBER(AQ94),IF(AQ94&gt;Parameters!$B$46,-2,IF(AQ94&gt;Parameters!$B$45,-1,0)),0)</f>
        <v>0</v>
      </c>
      <c r="CA94" s="10" t="n">
        <f aca="false">IF(ISNUMBER(F94),IF(F94&gt;=Parameters!$B$47,1,IF(F94&lt;=Parameters!$B$48,-1,0)),0)</f>
        <v>0</v>
      </c>
      <c r="CB94" s="17" t="n">
        <f aca="false">IF(BF94="Established",BP94+BQ94+BR94+BS94+BT94+BU94,IF(BF94="Early",BV94+BW94+BX94+BY94+BZ94+CA94,0))</f>
        <v>0</v>
      </c>
      <c r="CC94" s="18" t="n">
        <f aca="false">IF(BF94="Established",BO94+CB94,IF(BF94="Early",BO94+Parameters!$B$50*CB94,BO94))</f>
        <v>-8</v>
      </c>
      <c r="CD94" s="17" t="n">
        <f aca="false">IF(BF94="Established",IF(CC94&gt;=Parameters!$B$51,6,IF(CC94&gt;=Parameters!$B$52,5,IF(CC94&gt;=Parameters!$B$53,4,IF(CC94&gt;=Parameters!$B$54,3,IF(CC94&gt;=Parameters!$B$55,2,1))))),IF(BF94="Early",IF(CC94&gt;=Parameters!$B$56,5,IF(CC94&gt;=Parameters!$B$57,4,IF(CC94&gt;=Parameters!$B$58,3,IF(CC94&gt;=Parameters!$B$59,2,1)))),IF(CC94&gt;=Parameters!$B$60,6,IF(CC94&gt;=Parameters!$B$61,5,IF(CC94&gt;=Parameters!$B$62,4,IF(CC94&gt;=Parameters!$B$63,3,IF(CC94&gt;=Parameters!$B$64,2,1)))))))</f>
        <v>1</v>
      </c>
      <c r="CE94" s="10" t="n">
        <f aca="false">IF(AND(ISNUMBER(AR94),AR94&lt;Parameters!$B$66),1,0)</f>
        <v>0</v>
      </c>
      <c r="CF94" s="10" t="n">
        <f aca="false">IF(AND(LEFT(AH94,5)="Death",ISNUMBER(AG94)),IF(BF94="Early",IF(AND(AG94&lt;Parameters!$B$70,ISNUMBER(U94),U94&lt;Parameters!$B$71),1,0),IF(AND(AG94&lt;Parameters!$B$67,OR(AND(ISNUMBER(U94),U94&lt;Parameters!$B$68),AND(ISNUMBER(V94),V94&lt;Parameters!$B$69))),1,0)),0)</f>
        <v>1</v>
      </c>
      <c r="CG94" s="10" t="n">
        <f aca="false">IF(AND(ISNUMBER(AG94),AG94&lt;0),1,0)</f>
        <v>1</v>
      </c>
      <c r="CH94" s="10" t="n">
        <f aca="false">IF(OR(AND(ISNUMBER(U94),U94&gt;Parameters!$B$74),AND(ISNUMBER(AF94),AF94&gt;Parameters!$B$75),AND(ISNUMBER(AE94),AE94&gt;Parameters!$B$76)),1,0)</f>
        <v>0</v>
      </c>
      <c r="CI94" s="10" t="n">
        <f aca="false">IF(AND(ISNUMBER(BC94),BC94&gt;=0,BC94&lt;=Parameters!$B$77),1,0)</f>
        <v>0</v>
      </c>
      <c r="CJ94" s="17" t="n">
        <f aca="false">IF(CF94=1,1,MIN(CD94,IF(CE94=1,3,6),IF(CG94=1,IF(BF94="Early",Parameters!$B$73,Parameters!$B$72),6),IF(CH94=1,3,6),IF(CI94=1,3,6)))</f>
        <v>1</v>
      </c>
      <c r="CK94" s="10" t="str">
        <f aca="false">INDEX(Parameters!$F$2:$F$7,CJ94)</f>
        <v>Sell Immediately</v>
      </c>
      <c r="CL94" s="10" t="str">
        <f aca="false">IF(CF94=1,"Hard sell: breakdown; ","")&amp;IF(CE94=1,"Insufficient history; ","")&amp;IF(AND(CF94=0,CG94=1),"Below 200D; ","")&amp;IF(CH94=1,"Extended - wait for pullback; ","")&amp;IF(CI94=1,"Earnings within "&amp;Parameters!$B$77&amp;"d; ","")</f>
        <v>Hard sell: breakdown; </v>
      </c>
    </row>
  </sheetData>
  <autoFilter ref="A1:CL9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2026-09-11T12:52:08Z</dcterms:created>
  <dc:creator>openpyxl</dc:creator>
  <dc:description/>
  <dc:language>en-US</dc:language>
  <cp:lastModifiedBy/>
  <dcterms:modified xsi:type="dcterms:W3CDTF">2026-09-11T12:52:09Z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